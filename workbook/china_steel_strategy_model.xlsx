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ink/ink1.xml" ContentType="application/inkml+xml"/>
  <Override PartName="/xl/ink/ink2.xml" ContentType="application/inkml+xml"/>
  <Override PartName="/xl/ink/ink3.xml" ContentType="application/inkml+xml"/>
  <Override PartName="/xl/ink/ink4.xml" ContentType="application/inkml+xml"/>
  <Override PartName="/xl/ink/ink5.xml" ContentType="application/inkml+xml"/>
  <Override PartName="/xl/ink/ink6.xml" ContentType="application/inkml+xml"/>
  <Override PartName="/xl/ink/ink7.xml" ContentType="application/inkml+xml"/>
  <Override PartName="/xl/ink/ink8.xml" ContentType="application/inkml+xml"/>
  <Override PartName="/xl/ink/ink9.xml" ContentType="application/inkml+xml"/>
  <Override PartName="/xl/ink/ink10.xml" ContentType="application/inkml+xml"/>
  <Override PartName="/xl/ink/ink11.xml" ContentType="application/inkml+xml"/>
  <Override PartName="/xl/ink/ink12.xml" ContentType="application/inkml+xml"/>
  <Override PartName="/xl/ink/ink13.xml" ContentType="application/inkml+xml"/>
  <Override PartName="/xl/ink/ink14.xml" ContentType="application/inkml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/>
  <mc:AlternateContent xmlns:mc="http://schemas.openxmlformats.org/markup-compatibility/2006">
    <mc:Choice Requires="x15">
      <x15ac:absPath xmlns:x15ac="http://schemas.microsoft.com/office/spreadsheetml/2010/11/ac" url="/Users/weady/Downloads/"/>
    </mc:Choice>
  </mc:AlternateContent>
  <xr:revisionPtr revIDLastSave="0" documentId="13_ncr:1_{917CE4D3-17FD-4547-91BA-39F84A9A6944}" xr6:coauthVersionLast="47" xr6:coauthVersionMax="47" xr10:uidLastSave="{00000000-0000-0000-0000-000000000000}"/>
  <bookViews>
    <workbookView xWindow="-4680" yWindow="-21100" windowWidth="38400" windowHeight="19240" activeTab="3" xr2:uid="{00000000-000D-0000-FFFF-FFFF00000000}"/>
  </bookViews>
  <sheets>
    <sheet name="Executive Dashboard" sheetId="1" r:id="rId1"/>
    <sheet name="Assumptions" sheetId="2" r:id="rId2"/>
    <sheet name="Detail1" sheetId="9" r:id="rId3"/>
    <sheet name="Pivot Summary" sheetId="8" r:id="rId4"/>
    <sheet name="Weekly Market" sheetId="3" r:id="rId5"/>
    <sheet name="Scenario Model" sheetId="4" r:id="rId6"/>
    <sheet name="Competitors" sheetId="5" r:id="rId7"/>
    <sheet name="QC Checks" sheetId="6" r:id="rId8"/>
  </sheets>
  <calcPr calcId="191029"/>
  <pivotCaches>
    <pivotCache cacheId="128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" i="3" l="1"/>
  <c r="O3" i="3"/>
  <c r="O4" i="3"/>
  <c r="O5" i="3"/>
  <c r="O6" i="3"/>
  <c r="O7" i="3"/>
  <c r="O8" i="3"/>
  <c r="O9" i="3"/>
  <c r="O10" i="3"/>
  <c r="O11" i="3"/>
  <c r="O12" i="3"/>
  <c r="O13" i="3"/>
  <c r="O14" i="3"/>
  <c r="O15" i="3"/>
  <c r="O16" i="3"/>
  <c r="O17" i="3"/>
  <c r="O18" i="3"/>
  <c r="O19" i="3"/>
  <c r="O20" i="3"/>
  <c r="O21" i="3"/>
  <c r="O22" i="3"/>
  <c r="O23" i="3"/>
  <c r="O24" i="3"/>
  <c r="O25" i="3"/>
  <c r="O26" i="3"/>
  <c r="O27" i="3"/>
  <c r="O28" i="3"/>
  <c r="O29" i="3"/>
  <c r="O30" i="3"/>
  <c r="O31" i="3"/>
  <c r="O32" i="3"/>
  <c r="O33" i="3"/>
  <c r="O34" i="3"/>
  <c r="O35" i="3"/>
  <c r="O36" i="3"/>
  <c r="O37" i="3"/>
  <c r="O38" i="3"/>
  <c r="O39" i="3"/>
  <c r="O40" i="3"/>
  <c r="O41" i="3"/>
  <c r="O42" i="3"/>
  <c r="O43" i="3"/>
  <c r="O44" i="3"/>
  <c r="O45" i="3"/>
  <c r="O46" i="3"/>
  <c r="O47" i="3"/>
  <c r="O48" i="3"/>
  <c r="O49" i="3"/>
  <c r="O50" i="3"/>
  <c r="O51" i="3"/>
  <c r="O52" i="3"/>
  <c r="O53" i="3"/>
  <c r="O54" i="3"/>
  <c r="O55" i="3"/>
  <c r="O56" i="3"/>
  <c r="O57" i="3"/>
  <c r="O58" i="3"/>
  <c r="O59" i="3"/>
  <c r="O60" i="3"/>
  <c r="O61" i="3"/>
  <c r="O62" i="3"/>
  <c r="O63" i="3"/>
  <c r="O64" i="3"/>
  <c r="O65" i="3"/>
  <c r="O66" i="3"/>
  <c r="O67" i="3"/>
  <c r="O68" i="3"/>
  <c r="O69" i="3"/>
  <c r="O70" i="3"/>
  <c r="O71" i="3"/>
  <c r="O72" i="3"/>
  <c r="O73" i="3"/>
  <c r="O74" i="3"/>
  <c r="O75" i="3"/>
  <c r="O76" i="3"/>
  <c r="O77" i="3"/>
  <c r="O78" i="3"/>
  <c r="O79" i="3"/>
  <c r="O80" i="3"/>
  <c r="O81" i="3"/>
  <c r="O82" i="3"/>
  <c r="O83" i="3"/>
  <c r="O84" i="3"/>
  <c r="O85" i="3"/>
  <c r="O86" i="3"/>
  <c r="O87" i="3"/>
  <c r="O88" i="3"/>
  <c r="O89" i="3"/>
  <c r="O90" i="3"/>
  <c r="O91" i="3"/>
  <c r="O92" i="3"/>
  <c r="O93" i="3"/>
  <c r="O94" i="3"/>
  <c r="O95" i="3"/>
  <c r="O96" i="3"/>
  <c r="O97" i="3"/>
  <c r="O98" i="3"/>
  <c r="O99" i="3"/>
  <c r="O100" i="3"/>
  <c r="O101" i="3"/>
  <c r="O102" i="3"/>
  <c r="O103" i="3"/>
  <c r="O104" i="3"/>
  <c r="O105" i="3"/>
  <c r="C11" i="6"/>
  <c r="C10" i="6"/>
  <c r="B10" i="6"/>
  <c r="B9" i="6"/>
  <c r="C9" i="6" s="1"/>
  <c r="C8" i="6"/>
  <c r="B8" i="6"/>
  <c r="C7" i="6"/>
  <c r="B7" i="6"/>
  <c r="C6" i="6"/>
  <c r="B6" i="6"/>
  <c r="B5" i="6"/>
  <c r="C5" i="6" s="1"/>
  <c r="G22" i="4"/>
  <c r="F22" i="4"/>
  <c r="H22" i="4" s="1"/>
  <c r="D22" i="4"/>
  <c r="E22" i="4" s="1"/>
  <c r="C22" i="4"/>
  <c r="G21" i="4"/>
  <c r="D21" i="4"/>
  <c r="F21" i="4" s="1"/>
  <c r="H21" i="4" s="1"/>
  <c r="C21" i="4"/>
  <c r="G20" i="4"/>
  <c r="D20" i="4"/>
  <c r="E20" i="4" s="1"/>
  <c r="C20" i="4"/>
  <c r="F20" i="4" s="1"/>
  <c r="H20" i="4" s="1"/>
  <c r="G19" i="4"/>
  <c r="D19" i="4"/>
  <c r="F19" i="4" s="1"/>
  <c r="H19" i="4" s="1"/>
  <c r="C19" i="4"/>
  <c r="G18" i="4"/>
  <c r="F18" i="4"/>
  <c r="H18" i="4" s="1"/>
  <c r="D18" i="4"/>
  <c r="E18" i="4" s="1"/>
  <c r="C18" i="4"/>
  <c r="G17" i="4"/>
  <c r="D17" i="4"/>
  <c r="F17" i="4" s="1"/>
  <c r="H17" i="4" s="1"/>
  <c r="C17" i="4"/>
  <c r="G16" i="4"/>
  <c r="F16" i="4"/>
  <c r="H16" i="4" s="1"/>
  <c r="D16" i="4"/>
  <c r="E16" i="4" s="1"/>
  <c r="C16" i="4"/>
  <c r="G15" i="4"/>
  <c r="D15" i="4"/>
  <c r="F15" i="4" s="1"/>
  <c r="H15" i="4" s="1"/>
  <c r="C15" i="4"/>
  <c r="G14" i="4"/>
  <c r="F14" i="4"/>
  <c r="H14" i="4" s="1"/>
  <c r="D14" i="4"/>
  <c r="E14" i="4" s="1"/>
  <c r="C14" i="4"/>
  <c r="G13" i="4"/>
  <c r="D13" i="4"/>
  <c r="F13" i="4" s="1"/>
  <c r="H13" i="4" s="1"/>
  <c r="C13" i="4"/>
  <c r="G12" i="4"/>
  <c r="F12" i="4"/>
  <c r="H12" i="4" s="1"/>
  <c r="D12" i="4"/>
  <c r="E12" i="4" s="1"/>
  <c r="C12" i="4"/>
  <c r="G11" i="4"/>
  <c r="D11" i="4"/>
  <c r="F11" i="4" s="1"/>
  <c r="H11" i="4" s="1"/>
  <c r="C11" i="4"/>
  <c r="G10" i="4"/>
  <c r="F10" i="4"/>
  <c r="H10" i="4" s="1"/>
  <c r="D10" i="4"/>
  <c r="E10" i="4" s="1"/>
  <c r="C10" i="4"/>
  <c r="G9" i="4"/>
  <c r="D9" i="4"/>
  <c r="F9" i="4" s="1"/>
  <c r="H9" i="4" s="1"/>
  <c r="C9" i="4"/>
  <c r="G8" i="4"/>
  <c r="F8" i="4"/>
  <c r="H8" i="4" s="1"/>
  <c r="D8" i="4"/>
  <c r="E8" i="4" s="1"/>
  <c r="C8" i="4"/>
  <c r="G7" i="4"/>
  <c r="D7" i="4"/>
  <c r="F7" i="4" s="1"/>
  <c r="H7" i="4" s="1"/>
  <c r="C7" i="4"/>
  <c r="G6" i="4"/>
  <c r="F6" i="4"/>
  <c r="H6" i="4" s="1"/>
  <c r="D6" i="4"/>
  <c r="E6" i="4" s="1"/>
  <c r="C6" i="4"/>
  <c r="G5" i="4"/>
  <c r="D5" i="4"/>
  <c r="F5" i="4" s="1"/>
  <c r="H5" i="4" s="1"/>
  <c r="C5" i="4"/>
  <c r="B8" i="1"/>
  <c r="B7" i="1"/>
  <c r="B6" i="1"/>
  <c r="B5" i="1"/>
  <c r="E5" i="4" l="1"/>
  <c r="E9" i="4"/>
  <c r="E13" i="4"/>
  <c r="E17" i="4"/>
  <c r="E21" i="4"/>
  <c r="E7" i="4"/>
  <c r="E11" i="4"/>
  <c r="E15" i="4"/>
  <c r="E19" i="4"/>
</calcChain>
</file>

<file path=xl/sharedStrings.xml><?xml version="1.0" encoding="utf-8"?>
<sst xmlns="http://schemas.openxmlformats.org/spreadsheetml/2006/main" count="199" uniqueCount="129">
  <si>
    <t>China Steel Strategy Model</t>
  </si>
  <si>
    <t>Synthetic portfolio model | editable assumptions | 2025–2030 scenarios</t>
  </si>
  <si>
    <t>KPI</t>
  </si>
  <si>
    <t>Value</t>
  </si>
  <si>
    <t>Decision frame
Base case assumes gradual demand decline and modest supply discipline. Margin resilience depends on raw-material relief, product mix and capacity adjustment more than volume growth.
All economics are synthetic model outputs—not company forecasts.</t>
  </si>
  <si>
    <t>Latest HRC (USD/t)</t>
  </si>
  <si>
    <t>Latest blended cost (USD/t)</t>
  </si>
  <si>
    <t>Latest HRC margin (USD/t)</t>
  </si>
  <si>
    <t>Base 2030 demand (Mt)</t>
  </si>
  <si>
    <t>Month</t>
  </si>
  <si>
    <t>HRC price</t>
  </si>
  <si>
    <t>Blended cost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</si>
  <si>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</si>
  <si>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</si>
  <si>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</si>
  <si>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</si>
  <si>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</si>
  <si>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</si>
  <si>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</si>
  <si>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</si>
  <si>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</si>
  <si>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</si>
  <si>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</si>
  <si>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</si>
  <si>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</si>
  <si>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</si>
  <si>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</si>
  <si>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</si>
  <si>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</si>
  <si>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</si>
  <si>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</si>
  <si>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</si>
  <si>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</si>
  <si>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</si>
  <si>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</si>
  <si>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</si>
  <si>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t>Visible Assumptions</t>
  </si>
  <si>
    <t>Yellow cells are editable; scenario logic is formula-driven</t>
  </si>
  <si>
    <t>Scenario</t>
  </si>
  <si>
    <t>Demand CAGR</t>
  </si>
  <si>
    <t>Supply CAGR</t>
  </si>
  <si>
    <t>Price elasticity</t>
  </si>
  <si>
    <t>Cost inflation</t>
  </si>
  <si>
    <t>2030 EAF share</t>
  </si>
  <si>
    <t>Downside</t>
  </si>
  <si>
    <t>Base</t>
  </si>
  <si>
    <t>Upside</t>
  </si>
  <si>
    <t>Base-year constants</t>
  </si>
  <si>
    <t>Demand 980 Mt</t>
  </si>
  <si>
    <t>Supply 995 Mt</t>
  </si>
  <si>
    <t>Price $520/t</t>
  </si>
  <si>
    <t>Cost $455/t</t>
  </si>
  <si>
    <t>EAF 15%</t>
  </si>
  <si>
    <t>Source / rationale</t>
  </si>
  <si>
    <t>Public calibration</t>
  </si>
  <si>
    <t>China 2024 crude steel: 1,005.1 Mt</t>
  </si>
  <si>
    <t>worldsteel</t>
  </si>
  <si>
    <t>https://worldsteel.org/media/press-releases/2025/december-2024-crude-steel-production-and-2024-global-totals/</t>
  </si>
  <si>
    <t>Producer ranking</t>
  </si>
  <si>
    <t>2024 company output</t>
  </si>
  <si>
    <t>https://worldsteel.org/data/world-steel-in-figures/world-steel-in-figures-2025/</t>
  </si>
  <si>
    <t>Policy</t>
  </si>
  <si>
    <t>2025–2026 stable-growth plan</t>
  </si>
  <si>
    <t>MIIT</t>
  </si>
  <si>
    <t>https://www.miit.gov.cn/jgsj/ycls/wjfb/art/2025/art_854c86c1f4484bcfa78a6b634a7fb5b1.html</t>
  </si>
  <si>
    <t>Disclosure</t>
  </si>
  <si>
    <t>Market series and model assumptions are synthetic</t>
  </si>
  <si>
    <t>week_start</t>
  </si>
  <si>
    <t>hrc_usd_t</t>
  </si>
  <si>
    <t>rebar_usd_t</t>
  </si>
  <si>
    <t>iron_ore_usd_t</t>
  </si>
  <si>
    <t>coking_coal_usd_t</t>
  </si>
  <si>
    <t>scrap_usd_t</t>
  </si>
  <si>
    <t>crude_steel_output_mt</t>
  </si>
  <si>
    <t>apparent_demand_mt</t>
  </si>
  <si>
    <t>exports_mt</t>
  </si>
  <si>
    <t>bf_bof_cost_usd_t</t>
  </si>
  <si>
    <t>eaf_cost_usd_t</t>
  </si>
  <si>
    <t>blended_cost_usd_t</t>
  </si>
  <si>
    <t>hrc_margin_usd_t</t>
  </si>
  <si>
    <t>is_synthetic</t>
  </si>
  <si>
    <t>2025–2030 Scenario Model</t>
  </si>
  <si>
    <t>Demand/supply balance → price response; cost inflation/EAF pathway → cash cost; margin = price − cost</t>
  </si>
  <si>
    <t>Year</t>
  </si>
  <si>
    <t>Demand Mt</t>
  </si>
  <si>
    <t>Supply Mt</t>
  </si>
  <si>
    <t>Balance Mt</t>
  </si>
  <si>
    <t>Steel price $/t</t>
  </si>
  <si>
    <t>Cash cost $/t</t>
  </si>
  <si>
    <t>Margin $/t</t>
  </si>
  <si>
    <t>Major China Producer Comparison</t>
  </si>
  <si>
    <t>Public 2024 crude steel output; not a profitability ranking</t>
  </si>
  <si>
    <t>Producer</t>
  </si>
  <si>
    <t>2024 Mt</t>
  </si>
  <si>
    <t>Rank</t>
  </si>
  <si>
    <t>Strategy lens</t>
  </si>
  <si>
    <t>Source</t>
  </si>
  <si>
    <t>China Baowu</t>
  </si>
  <si>
    <t>Scale and consolidation</t>
  </si>
  <si>
    <t>worldsteel 2025</t>
  </si>
  <si>
    <t>Ansteel</t>
  </si>
  <si>
    <t>Sheet and resource footprint</t>
  </si>
  <si>
    <t>HBIS</t>
  </si>
  <si>
    <t>Green/intelligent manufacturing</t>
  </si>
  <si>
    <t>Shagang</t>
  </si>
  <si>
    <t>Cost discipline and exports</t>
  </si>
  <si>
    <t>Jianlong</t>
  </si>
  <si>
    <t>Multi-regional leverage</t>
  </si>
  <si>
    <t>Shougang</t>
  </si>
  <si>
    <t>Advanced sheet mix</t>
  </si>
  <si>
    <t>Source: https://worldsteel.org/data/world-steel-in-figures/world-steel-in-figures-2025/
Group scope affects comparability; output is not capacity, shipments, revenue or margin.</t>
  </si>
  <si>
    <t>Model Quality Checks</t>
  </si>
  <si>
    <t>All checks should show PASS</t>
  </si>
  <si>
    <t>Check</t>
  </si>
  <si>
    <t>Formula</t>
  </si>
  <si>
    <t>Status</t>
  </si>
  <si>
    <t>Weekly row count</t>
  </si>
  <si>
    <t>Synthetic rows</t>
  </si>
  <si>
    <t>Positive prices</t>
  </si>
  <si>
    <t>Margin bridge latest</t>
  </si>
  <si>
    <t>Scenario rows</t>
  </si>
  <si>
    <t>No blank scenario years</t>
  </si>
  <si>
    <t>Avg HRC Margin ($/t)</t>
  </si>
  <si>
    <t>Avg Blended Cost ($/t)</t>
  </si>
  <si>
    <t>Avg HRC ($/t)</t>
  </si>
  <si>
    <t>month</t>
  </si>
  <si>
    <t>Details for Avg HRC ($/t) - month: 2025-06, week_start: 1/1/2024 (+)</t>
  </si>
  <si>
    <t>Monthly Price–Cost–Margin Monitor</t>
  </si>
  <si>
    <t>Synthetic weekly data aggregated to monthly averages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</si>
</sst>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#,##0.0"/>
    <numFmt numFmtId="165" formatCode="\$#,##0"/>
    <numFmt numFmtId="166" formatCode="0.0%"/>
    <numFmt numFmtId="167" formatCode="yyyy\-mm\-dd"/>
    <numFmt numFmtId="168" formatCode="\$#,##0.0"/>
    <numFmt numFmtId="169" formatCode="0.000"/>
    <numFmt numFmtId="170" formatCode="0.0"/>
  </numFmts>
  <fonts count="10">
    <font>
      <sz val="11"/>
      <name val="Carlito"/>
    </font>
    <font>
      <b/>
      <sz val="20"/>
      <color rgb="FFFFFFFF"/>
      <name val="Carlito"/>
    </font>
    <font>
      <i/>
      <sz val="10"/>
      <color rgb="FF62717B"/>
      <name val="Carlito"/>
    </font>
    <font>
      <b/>
      <sz val="11"/>
      <color rgb="FFFFFFFF"/>
      <name val="Carlito"/>
    </font>
    <font>
      <sz val="12"/>
      <color rgb="FF10212B"/>
      <name val="Carlito"/>
    </font>
    <font>
      <b/>
      <sz val="11"/>
      <name val="Carlito"/>
    </font>
    <font>
      <b/>
      <sz val="14"/>
      <color theme="2" tint="-0.499984740745262"/>
      <name val="Carlito"/>
    </font>
    <font>
      <b/>
      <sz val="14"/>
      <color theme="4"/>
      <name val="Arial Unicode MS"/>
      <family val="2"/>
    </font>
    <font>
      <sz val="10"/>
      <color theme="2" tint="-0.499984740745262"/>
      <name val="Arial Unicode MS"/>
      <family val="2"/>
    </font>
    <font>
      <sz val="10"/>
      <color theme="2" tint="-0.499984740745262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7343D"/>
      </patternFill>
    </fill>
    <fill>
      <patternFill patternType="solid">
        <fgColor rgb="FFD97706"/>
      </patternFill>
    </fill>
    <fill>
      <patternFill patternType="solid">
        <fgColor rgb="FFF3F6F7"/>
      </patternFill>
    </fill>
    <fill>
      <patternFill patternType="solid">
        <fgColor rgb="FFFFF2CC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 style="thin">
        <color rgb="FFDCE3E6"/>
      </right>
      <top/>
      <bottom/>
      <diagonal/>
    </border>
    <border>
      <left style="thin">
        <color rgb="FFDCE3E6"/>
      </left>
      <right/>
      <top/>
      <bottom/>
      <diagonal/>
    </border>
    <border>
      <left style="thin">
        <color rgb="FFDCE3E6"/>
      </left>
      <right style="thin">
        <color rgb="FFDCE3E6"/>
      </right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3" fillId="3" borderId="1" xfId="0" applyFont="1" applyFill="1" applyBorder="1"/>
    <xf numFmtId="0" fontId="3" fillId="3" borderId="2" xfId="0" applyFont="1" applyFill="1" applyBorder="1"/>
    <xf numFmtId="164" fontId="0" fillId="0" borderId="0" xfId="0" applyNumberFormat="1"/>
    <xf numFmtId="0" fontId="3" fillId="3" borderId="3" xfId="0" applyFont="1" applyFill="1" applyBorder="1"/>
    <xf numFmtId="165" fontId="0" fillId="0" borderId="0" xfId="0" applyNumberFormat="1"/>
    <xf numFmtId="166" fontId="0" fillId="5" borderId="0" xfId="0" applyNumberFormat="1" applyFill="1"/>
    <xf numFmtId="2" fontId="0" fillId="5" borderId="0" xfId="0" applyNumberFormat="1" applyFill="1"/>
    <xf numFmtId="167" fontId="0" fillId="0" borderId="0" xfId="0" applyNumberFormat="1"/>
    <xf numFmtId="168" fontId="0" fillId="0" borderId="0" xfId="0" applyNumberFormat="1"/>
    <xf numFmtId="169" fontId="0" fillId="0" borderId="0" xfId="0" applyNumberFormat="1"/>
    <xf numFmtId="2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4" fontId="0" fillId="0" borderId="0" xfId="0" applyNumberFormat="1"/>
    <xf numFmtId="0" fontId="5" fillId="0" borderId="0" xfId="0" applyFont="1"/>
    <xf numFmtId="170" fontId="0" fillId="0" borderId="0" xfId="0" applyNumberFormat="1"/>
    <xf numFmtId="0" fontId="1" fillId="2" borderId="0" xfId="0" applyFont="1" applyFill="1"/>
    <xf numFmtId="0" fontId="2" fillId="0" borderId="0" xfId="0" applyFont="1" applyAlignment="1">
      <alignment wrapText="1"/>
    </xf>
    <xf numFmtId="0" fontId="4" fillId="4" borderId="0" xfId="0" applyFont="1" applyFill="1" applyAlignment="1">
      <alignment vertical="top" wrapText="1"/>
    </xf>
    <xf numFmtId="0" fontId="0" fillId="4" borderId="0" xfId="0" applyFill="1" applyAlignment="1">
      <alignment wrapText="1"/>
    </xf>
    <xf numFmtId="0" fontId="6" fillId="6" borderId="0" xfId="0" applyFont="1" applyFill="1"/>
    <xf numFmtId="0" fontId="7" fillId="6" borderId="0" xfId="0" applyFont="1" applyFill="1"/>
    <xf numFmtId="0" fontId="8" fillId="6" borderId="0" xfId="0" applyFont="1" applyFill="1"/>
    <xf numFmtId="0" fontId="9" fillId="6" borderId="0" xfId="0" applyFont="1" applyFill="1"/>
  </cellXfs>
  <cellStyles count="1">
    <cellStyle name="Normal" xfId="0" builtinId="0"/>
  </cellStyles>
  <dxfs count="2">
    <dxf>
      <numFmt numFmtId="19" formatCode="m/d/yy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Monthly HRC Price vs Blended Cash Cost (USD/t)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HRC price</c:v>
          </c:tx>
          <c:marker>
            <c:symbol val="none"/>
          </c:marker>
          <c:cat>
            <c:strRef>
              <c:f>'Executive Dashboard'!$A$13:$A$36</c:f>
              <c:strCache>
                <c:ptCount val="24"/>
                <c:pt idx="0">
                  <c:v>2024-01</c:v>
                </c:pt>
                <c:pt idx="1">
                  <c:v>2024-02</c:v>
                </c:pt>
                <c:pt idx="2">
                  <c:v>2024-03</c:v>
                </c:pt>
                <c:pt idx="3">
                  <c:v>2024-04</c:v>
                </c:pt>
                <c:pt idx="4">
                  <c:v>2024-05</c:v>
                </c:pt>
                <c:pt idx="5">
                  <c:v>2024-06</c:v>
                </c:pt>
                <c:pt idx="6">
                  <c:v>2024-07</c:v>
                </c:pt>
                <c:pt idx="7">
                  <c:v>2024-08</c:v>
                </c:pt>
                <c:pt idx="8">
                  <c:v>2024-09</c:v>
                </c:pt>
                <c:pt idx="9">
                  <c:v>2024-10</c:v>
                </c:pt>
                <c:pt idx="10">
                  <c:v>2024-11</c:v>
                </c:pt>
                <c:pt idx="11">
                  <c:v>2024-12</c:v>
                </c:pt>
                <c:pt idx="12">
                  <c:v>2025-01</c:v>
                </c:pt>
                <c:pt idx="13">
                  <c:v>2025-02</c:v>
                </c:pt>
                <c:pt idx="14">
                  <c:v>2025-03</c:v>
                </c:pt>
                <c:pt idx="15">
                  <c:v>2025-04</c:v>
                </c:pt>
                <c:pt idx="16">
                  <c:v>2025-05</c:v>
                </c:pt>
                <c:pt idx="17">
                  <c:v>2025-06</c:v>
                </c:pt>
                <c:pt idx="18">
                  <c:v>2025-07</c:v>
                </c:pt>
                <c:pt idx="19">
                  <c:v>2025-08</c:v>
                </c:pt>
                <c:pt idx="20">
                  <c:v>2025-09</c:v>
                </c:pt>
                <c:pt idx="21">
                  <c:v>2025-10</c:v>
                </c:pt>
                <c:pt idx="22">
                  <c:v>2025-11</c:v>
                </c:pt>
                <c:pt idx="23">
                  <c:v>2025-12</c:v>
                </c:pt>
              </c:strCache>
            </c:strRef>
          </c:cat>
          <c:val>
            <c:numRef>
              <c:f>'Executive Dashboard'!$B$13:$B$36</c:f>
              <c:numCache>
                <c:formatCode>\$#,##0</c:formatCode>
                <c:ptCount val="24"/>
                <c:pt idx="0">
                  <c:v>566.16999999999996</c:v>
                </c:pt>
                <c:pt idx="1">
                  <c:v>565.47</c:v>
                </c:pt>
                <c:pt idx="2">
                  <c:v>570.05999999999995</c:v>
                </c:pt>
                <c:pt idx="3">
                  <c:v>576.49</c:v>
                </c:pt>
                <c:pt idx="4">
                  <c:v>567.84</c:v>
                </c:pt>
                <c:pt idx="5">
                  <c:v>552.23</c:v>
                </c:pt>
                <c:pt idx="6">
                  <c:v>543.71</c:v>
                </c:pt>
                <c:pt idx="7">
                  <c:v>536.22</c:v>
                </c:pt>
                <c:pt idx="8">
                  <c:v>526.04999999999995</c:v>
                </c:pt>
                <c:pt idx="9">
                  <c:v>522.75</c:v>
                </c:pt>
                <c:pt idx="10">
                  <c:v>522.08000000000004</c:v>
                </c:pt>
                <c:pt idx="11">
                  <c:v>530.96</c:v>
                </c:pt>
                <c:pt idx="12">
                  <c:v>552.36</c:v>
                </c:pt>
                <c:pt idx="13">
                  <c:v>557.78</c:v>
                </c:pt>
                <c:pt idx="14">
                  <c:v>561.66999999999996</c:v>
                </c:pt>
                <c:pt idx="15">
                  <c:v>561.86</c:v>
                </c:pt>
                <c:pt idx="16">
                  <c:v>553.59</c:v>
                </c:pt>
                <c:pt idx="17">
                  <c:v>538.32000000000005</c:v>
                </c:pt>
                <c:pt idx="18">
                  <c:v>533.73</c:v>
                </c:pt>
                <c:pt idx="19">
                  <c:v>522.34</c:v>
                </c:pt>
                <c:pt idx="20">
                  <c:v>511.94</c:v>
                </c:pt>
                <c:pt idx="21">
                  <c:v>515.91999999999996</c:v>
                </c:pt>
                <c:pt idx="22">
                  <c:v>519.71</c:v>
                </c:pt>
                <c:pt idx="23">
                  <c:v>527.53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0DD-514E-9FBA-850DF284C0B1}"/>
            </c:ext>
          </c:extLst>
        </c:ser>
        <c:ser>
          <c:idx val="1"/>
          <c:order val="1"/>
          <c:tx>
            <c:v>Blended cost</c:v>
          </c:tx>
          <c:marker>
            <c:symbol val="none"/>
          </c:marker>
          <c:cat>
            <c:strRef>
              <c:f>'Executive Dashboard'!$A$13:$A$36</c:f>
              <c:strCache>
                <c:ptCount val="24"/>
                <c:pt idx="0">
                  <c:v>2024-01</c:v>
                </c:pt>
                <c:pt idx="1">
                  <c:v>2024-02</c:v>
                </c:pt>
                <c:pt idx="2">
                  <c:v>2024-03</c:v>
                </c:pt>
                <c:pt idx="3">
                  <c:v>2024-04</c:v>
                </c:pt>
                <c:pt idx="4">
                  <c:v>2024-05</c:v>
                </c:pt>
                <c:pt idx="5">
                  <c:v>2024-06</c:v>
                </c:pt>
                <c:pt idx="6">
                  <c:v>2024-07</c:v>
                </c:pt>
                <c:pt idx="7">
                  <c:v>2024-08</c:v>
                </c:pt>
                <c:pt idx="8">
                  <c:v>2024-09</c:v>
                </c:pt>
                <c:pt idx="9">
                  <c:v>2024-10</c:v>
                </c:pt>
                <c:pt idx="10">
                  <c:v>2024-11</c:v>
                </c:pt>
                <c:pt idx="11">
                  <c:v>2024-12</c:v>
                </c:pt>
                <c:pt idx="12">
                  <c:v>2025-01</c:v>
                </c:pt>
                <c:pt idx="13">
                  <c:v>2025-02</c:v>
                </c:pt>
                <c:pt idx="14">
                  <c:v>2025-03</c:v>
                </c:pt>
                <c:pt idx="15">
                  <c:v>2025-04</c:v>
                </c:pt>
                <c:pt idx="16">
                  <c:v>2025-05</c:v>
                </c:pt>
                <c:pt idx="17">
                  <c:v>2025-06</c:v>
                </c:pt>
                <c:pt idx="18">
                  <c:v>2025-07</c:v>
                </c:pt>
                <c:pt idx="19">
                  <c:v>2025-08</c:v>
                </c:pt>
                <c:pt idx="20">
                  <c:v>2025-09</c:v>
                </c:pt>
                <c:pt idx="21">
                  <c:v>2025-10</c:v>
                </c:pt>
                <c:pt idx="22">
                  <c:v>2025-11</c:v>
                </c:pt>
                <c:pt idx="23">
                  <c:v>2025-12</c:v>
                </c:pt>
              </c:strCache>
            </c:strRef>
          </c:cat>
          <c:val>
            <c:numRef>
              <c:f>'Executive Dashboard'!$C$13:$C$36</c:f>
              <c:numCache>
                <c:formatCode>\$#,##0</c:formatCode>
                <c:ptCount val="24"/>
                <c:pt idx="0">
                  <c:v>367.51</c:v>
                </c:pt>
                <c:pt idx="1">
                  <c:v>373.52</c:v>
                </c:pt>
                <c:pt idx="2">
                  <c:v>385.91</c:v>
                </c:pt>
                <c:pt idx="3">
                  <c:v>364.37</c:v>
                </c:pt>
                <c:pt idx="4">
                  <c:v>354.08</c:v>
                </c:pt>
                <c:pt idx="5">
                  <c:v>342.6</c:v>
                </c:pt>
                <c:pt idx="6">
                  <c:v>323.95</c:v>
                </c:pt>
                <c:pt idx="7">
                  <c:v>309.35000000000002</c:v>
                </c:pt>
                <c:pt idx="8">
                  <c:v>310.27999999999997</c:v>
                </c:pt>
                <c:pt idx="9">
                  <c:v>315.25</c:v>
                </c:pt>
                <c:pt idx="10">
                  <c:v>328.09</c:v>
                </c:pt>
                <c:pt idx="11">
                  <c:v>343.11</c:v>
                </c:pt>
                <c:pt idx="12">
                  <c:v>358.21</c:v>
                </c:pt>
                <c:pt idx="13">
                  <c:v>361.37</c:v>
                </c:pt>
                <c:pt idx="14">
                  <c:v>365.56</c:v>
                </c:pt>
                <c:pt idx="15">
                  <c:v>353.69</c:v>
                </c:pt>
                <c:pt idx="16">
                  <c:v>345.63</c:v>
                </c:pt>
                <c:pt idx="17">
                  <c:v>325.39999999999998</c:v>
                </c:pt>
                <c:pt idx="18">
                  <c:v>310.01</c:v>
                </c:pt>
                <c:pt idx="19">
                  <c:v>301.39999999999998</c:v>
                </c:pt>
                <c:pt idx="20">
                  <c:v>295.24</c:v>
                </c:pt>
                <c:pt idx="21">
                  <c:v>300.93</c:v>
                </c:pt>
                <c:pt idx="22">
                  <c:v>316.31</c:v>
                </c:pt>
                <c:pt idx="23">
                  <c:v>323.45999999999998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0DD-514E-9FBA-850DF284C0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\$#,##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[china_steel_strategy_model.xlsx]Pivot Summary!PivotTable2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Monthly Price, Cost and Margin Trend ($/t)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'Pivot Summary'!$B$3</c:f>
              <c:strCache>
                <c:ptCount val="1"/>
                <c:pt idx="0">
                  <c:v>Avg HRC ($/t)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'Pivot Summary'!$A$4:$A$27</c:f>
              <c:strCache>
                <c:ptCount val="24"/>
                <c:pt idx="0">
                  <c:v>2024-01</c:v>
                </c:pt>
                <c:pt idx="1">
                  <c:v>2024-02</c:v>
                </c:pt>
                <c:pt idx="2">
                  <c:v>2024-03</c:v>
                </c:pt>
                <c:pt idx="3">
                  <c:v>2024-04</c:v>
                </c:pt>
                <c:pt idx="4">
                  <c:v>2024-05</c:v>
                </c:pt>
                <c:pt idx="5">
                  <c:v>2024-06</c:v>
                </c:pt>
                <c:pt idx="6">
                  <c:v>2024-07</c:v>
                </c:pt>
                <c:pt idx="7">
                  <c:v>2024-08</c:v>
                </c:pt>
                <c:pt idx="8">
                  <c:v>2024-09</c:v>
                </c:pt>
                <c:pt idx="9">
                  <c:v>2024-10</c:v>
                </c:pt>
                <c:pt idx="10">
                  <c:v>2024-11</c:v>
                </c:pt>
                <c:pt idx="11">
                  <c:v>2024-12</c:v>
                </c:pt>
                <c:pt idx="12">
                  <c:v>2025-01</c:v>
                </c:pt>
                <c:pt idx="13">
                  <c:v>2025-02</c:v>
                </c:pt>
                <c:pt idx="14">
                  <c:v>2025-03</c:v>
                </c:pt>
                <c:pt idx="15">
                  <c:v>2025-04</c:v>
                </c:pt>
                <c:pt idx="16">
                  <c:v>2025-05</c:v>
                </c:pt>
                <c:pt idx="17">
                  <c:v>2025-06</c:v>
                </c:pt>
                <c:pt idx="18">
                  <c:v>2025-07</c:v>
                </c:pt>
                <c:pt idx="19">
                  <c:v>2025-08</c:v>
                </c:pt>
                <c:pt idx="20">
                  <c:v>2025-09</c:v>
                </c:pt>
                <c:pt idx="21">
                  <c:v>2025-10</c:v>
                </c:pt>
                <c:pt idx="22">
                  <c:v>2025-11</c:v>
                </c:pt>
                <c:pt idx="23">
                  <c:v>2025-12</c:v>
                </c:pt>
              </c:strCache>
            </c:strRef>
          </c:cat>
          <c:val>
            <c:numRef>
              <c:f>'Pivot Summary'!$B$4:$B$27</c:f>
              <c:numCache>
                <c:formatCode>0.0</c:formatCode>
                <c:ptCount val="24"/>
                <c:pt idx="0">
                  <c:v>566.16800000000001</c:v>
                </c:pt>
                <c:pt idx="1">
                  <c:v>565.46500000000003</c:v>
                </c:pt>
                <c:pt idx="2">
                  <c:v>570.05999999999995</c:v>
                </c:pt>
                <c:pt idx="3">
                  <c:v>576.48800000000006</c:v>
                </c:pt>
                <c:pt idx="4">
                  <c:v>567.83749999999998</c:v>
                </c:pt>
                <c:pt idx="5">
                  <c:v>552.23</c:v>
                </c:pt>
                <c:pt idx="6">
                  <c:v>543.71199999999999</c:v>
                </c:pt>
                <c:pt idx="7">
                  <c:v>536.21749999999997</c:v>
                </c:pt>
                <c:pt idx="8">
                  <c:v>526.05200000000002</c:v>
                </c:pt>
                <c:pt idx="9">
                  <c:v>522.74750000000006</c:v>
                </c:pt>
                <c:pt idx="10">
                  <c:v>522.08000000000004</c:v>
                </c:pt>
                <c:pt idx="11">
                  <c:v>530.95600000000002</c:v>
                </c:pt>
                <c:pt idx="12">
                  <c:v>552.35500000000002</c:v>
                </c:pt>
                <c:pt idx="13">
                  <c:v>557.77750000000003</c:v>
                </c:pt>
                <c:pt idx="14">
                  <c:v>561.66800000000001</c:v>
                </c:pt>
                <c:pt idx="15">
                  <c:v>561.85500000000002</c:v>
                </c:pt>
                <c:pt idx="16">
                  <c:v>553.59249999999997</c:v>
                </c:pt>
                <c:pt idx="17">
                  <c:v>538.322</c:v>
                </c:pt>
                <c:pt idx="18">
                  <c:v>533.72500000000002</c:v>
                </c:pt>
                <c:pt idx="19">
                  <c:v>522.33749999999998</c:v>
                </c:pt>
                <c:pt idx="20">
                  <c:v>511.93599999999998</c:v>
                </c:pt>
                <c:pt idx="21">
                  <c:v>515.92000000000007</c:v>
                </c:pt>
                <c:pt idx="22">
                  <c:v>519.71</c:v>
                </c:pt>
                <c:pt idx="23">
                  <c:v>527.53499999999997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754-E243-8020-C63780228853}"/>
            </c:ext>
          </c:extLst>
        </c:ser>
        <c:ser>
          <c:idx val="1"/>
          <c:order val="1"/>
          <c:tx>
            <c:strRef>
              <c:f>'Pivot Summary'!$C$3</c:f>
              <c:strCache>
                <c:ptCount val="1"/>
                <c:pt idx="0">
                  <c:v>Avg Blended Cost ($/t)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'Pivot Summary'!$A$4:$A$27</c:f>
              <c:strCache>
                <c:ptCount val="24"/>
                <c:pt idx="0">
                  <c:v>2024-01</c:v>
                </c:pt>
                <c:pt idx="1">
                  <c:v>2024-02</c:v>
                </c:pt>
                <c:pt idx="2">
                  <c:v>2024-03</c:v>
                </c:pt>
                <c:pt idx="3">
                  <c:v>2024-04</c:v>
                </c:pt>
                <c:pt idx="4">
                  <c:v>2024-05</c:v>
                </c:pt>
                <c:pt idx="5">
                  <c:v>2024-06</c:v>
                </c:pt>
                <c:pt idx="6">
                  <c:v>2024-07</c:v>
                </c:pt>
                <c:pt idx="7">
                  <c:v>2024-08</c:v>
                </c:pt>
                <c:pt idx="8">
                  <c:v>2024-09</c:v>
                </c:pt>
                <c:pt idx="9">
                  <c:v>2024-10</c:v>
                </c:pt>
                <c:pt idx="10">
                  <c:v>2024-11</c:v>
                </c:pt>
                <c:pt idx="11">
                  <c:v>2024-12</c:v>
                </c:pt>
                <c:pt idx="12">
                  <c:v>2025-01</c:v>
                </c:pt>
                <c:pt idx="13">
                  <c:v>2025-02</c:v>
                </c:pt>
                <c:pt idx="14">
                  <c:v>2025-03</c:v>
                </c:pt>
                <c:pt idx="15">
                  <c:v>2025-04</c:v>
                </c:pt>
                <c:pt idx="16">
                  <c:v>2025-05</c:v>
                </c:pt>
                <c:pt idx="17">
                  <c:v>2025-06</c:v>
                </c:pt>
                <c:pt idx="18">
                  <c:v>2025-07</c:v>
                </c:pt>
                <c:pt idx="19">
                  <c:v>2025-08</c:v>
                </c:pt>
                <c:pt idx="20">
                  <c:v>2025-09</c:v>
                </c:pt>
                <c:pt idx="21">
                  <c:v>2025-10</c:v>
                </c:pt>
                <c:pt idx="22">
                  <c:v>2025-11</c:v>
                </c:pt>
                <c:pt idx="23">
                  <c:v>2025-12</c:v>
                </c:pt>
              </c:strCache>
            </c:strRef>
          </c:cat>
          <c:val>
            <c:numRef>
              <c:f>'Pivot Summary'!$C$4:$C$27</c:f>
              <c:numCache>
                <c:formatCode>0.0</c:formatCode>
                <c:ptCount val="24"/>
                <c:pt idx="0">
                  <c:v>367.51</c:v>
                </c:pt>
                <c:pt idx="1">
                  <c:v>373.52249999999998</c:v>
                </c:pt>
                <c:pt idx="2">
                  <c:v>385.91499999999996</c:v>
                </c:pt>
                <c:pt idx="3">
                  <c:v>364.36799999999999</c:v>
                </c:pt>
                <c:pt idx="4">
                  <c:v>354.08000000000004</c:v>
                </c:pt>
                <c:pt idx="5">
                  <c:v>342.60249999999996</c:v>
                </c:pt>
                <c:pt idx="6">
                  <c:v>323.94600000000003</c:v>
                </c:pt>
                <c:pt idx="7">
                  <c:v>309.35249999999996</c:v>
                </c:pt>
                <c:pt idx="8">
                  <c:v>310.28000000000003</c:v>
                </c:pt>
                <c:pt idx="9">
                  <c:v>315.245</c:v>
                </c:pt>
                <c:pt idx="10">
                  <c:v>328.09250000000003</c:v>
                </c:pt>
                <c:pt idx="11">
                  <c:v>343.10800000000006</c:v>
                </c:pt>
                <c:pt idx="12">
                  <c:v>358.21</c:v>
                </c:pt>
                <c:pt idx="13">
                  <c:v>361.36750000000001</c:v>
                </c:pt>
                <c:pt idx="14">
                  <c:v>365.55599999999998</c:v>
                </c:pt>
                <c:pt idx="15">
                  <c:v>353.69500000000005</c:v>
                </c:pt>
                <c:pt idx="16">
                  <c:v>345.63</c:v>
                </c:pt>
                <c:pt idx="17">
                  <c:v>325.39800000000002</c:v>
                </c:pt>
                <c:pt idx="18">
                  <c:v>310.00749999999999</c:v>
                </c:pt>
                <c:pt idx="19">
                  <c:v>301.39750000000004</c:v>
                </c:pt>
                <c:pt idx="20">
                  <c:v>295.24400000000003</c:v>
                </c:pt>
                <c:pt idx="21">
                  <c:v>300.93</c:v>
                </c:pt>
                <c:pt idx="22">
                  <c:v>316.30499999999995</c:v>
                </c:pt>
                <c:pt idx="23">
                  <c:v>323.45999999999998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754-E243-8020-C63780228853}"/>
            </c:ext>
          </c:extLst>
        </c:ser>
        <c:ser>
          <c:idx val="2"/>
          <c:order val="2"/>
          <c:tx>
            <c:strRef>
              <c:f>'Pivot Summary'!$D$3</c:f>
              <c:strCache>
                <c:ptCount val="1"/>
                <c:pt idx="0">
                  <c:v>Avg HRC Margin ($/t)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'Pivot Summary'!$A$4:$A$27</c:f>
              <c:strCache>
                <c:ptCount val="24"/>
                <c:pt idx="0">
                  <c:v>2024-01</c:v>
                </c:pt>
                <c:pt idx="1">
                  <c:v>2024-02</c:v>
                </c:pt>
                <c:pt idx="2">
                  <c:v>2024-03</c:v>
                </c:pt>
                <c:pt idx="3">
                  <c:v>2024-04</c:v>
                </c:pt>
                <c:pt idx="4">
                  <c:v>2024-05</c:v>
                </c:pt>
                <c:pt idx="5">
                  <c:v>2024-06</c:v>
                </c:pt>
                <c:pt idx="6">
                  <c:v>2024-07</c:v>
                </c:pt>
                <c:pt idx="7">
                  <c:v>2024-08</c:v>
                </c:pt>
                <c:pt idx="8">
                  <c:v>2024-09</c:v>
                </c:pt>
                <c:pt idx="9">
                  <c:v>2024-10</c:v>
                </c:pt>
                <c:pt idx="10">
                  <c:v>2024-11</c:v>
                </c:pt>
                <c:pt idx="11">
                  <c:v>2024-12</c:v>
                </c:pt>
                <c:pt idx="12">
                  <c:v>2025-01</c:v>
                </c:pt>
                <c:pt idx="13">
                  <c:v>2025-02</c:v>
                </c:pt>
                <c:pt idx="14">
                  <c:v>2025-03</c:v>
                </c:pt>
                <c:pt idx="15">
                  <c:v>2025-04</c:v>
                </c:pt>
                <c:pt idx="16">
                  <c:v>2025-05</c:v>
                </c:pt>
                <c:pt idx="17">
                  <c:v>2025-06</c:v>
                </c:pt>
                <c:pt idx="18">
                  <c:v>2025-07</c:v>
                </c:pt>
                <c:pt idx="19">
                  <c:v>2025-08</c:v>
                </c:pt>
                <c:pt idx="20">
                  <c:v>2025-09</c:v>
                </c:pt>
                <c:pt idx="21">
                  <c:v>2025-10</c:v>
                </c:pt>
                <c:pt idx="22">
                  <c:v>2025-11</c:v>
                </c:pt>
                <c:pt idx="23">
                  <c:v>2025-12</c:v>
                </c:pt>
              </c:strCache>
            </c:strRef>
          </c:cat>
          <c:val>
            <c:numRef>
              <c:f>'Pivot Summary'!$D$4:$D$27</c:f>
              <c:numCache>
                <c:formatCode>0.0</c:formatCode>
                <c:ptCount val="24"/>
                <c:pt idx="0">
                  <c:v>164.65799999999999</c:v>
                </c:pt>
                <c:pt idx="1">
                  <c:v>157.9425</c:v>
                </c:pt>
                <c:pt idx="2">
                  <c:v>150.14249999999998</c:v>
                </c:pt>
                <c:pt idx="3">
                  <c:v>178.11999999999998</c:v>
                </c:pt>
                <c:pt idx="4">
                  <c:v>179.76249999999999</c:v>
                </c:pt>
                <c:pt idx="5">
                  <c:v>175.6275</c:v>
                </c:pt>
                <c:pt idx="6">
                  <c:v>185.76399999999998</c:v>
                </c:pt>
                <c:pt idx="7">
                  <c:v>192.86750000000001</c:v>
                </c:pt>
                <c:pt idx="8">
                  <c:v>181.76999999999998</c:v>
                </c:pt>
                <c:pt idx="9">
                  <c:v>173.5025</c:v>
                </c:pt>
                <c:pt idx="10">
                  <c:v>159.99</c:v>
                </c:pt>
                <c:pt idx="11">
                  <c:v>153.846</c:v>
                </c:pt>
                <c:pt idx="12">
                  <c:v>160.14250000000001</c:v>
                </c:pt>
                <c:pt idx="13">
                  <c:v>162.41250000000002</c:v>
                </c:pt>
                <c:pt idx="14">
                  <c:v>162.114</c:v>
                </c:pt>
                <c:pt idx="15">
                  <c:v>174.16</c:v>
                </c:pt>
                <c:pt idx="16">
                  <c:v>173.96749999999997</c:v>
                </c:pt>
                <c:pt idx="17">
                  <c:v>178.92400000000001</c:v>
                </c:pt>
                <c:pt idx="18">
                  <c:v>189.72</c:v>
                </c:pt>
                <c:pt idx="19">
                  <c:v>186.94250000000002</c:v>
                </c:pt>
                <c:pt idx="20">
                  <c:v>182.69200000000001</c:v>
                </c:pt>
                <c:pt idx="21">
                  <c:v>180.99250000000001</c:v>
                </c:pt>
                <c:pt idx="22">
                  <c:v>169.41</c:v>
                </c:pt>
                <c:pt idx="23">
                  <c:v>170.07500000000002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754-E243-8020-C637802288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61558303"/>
        <c:axId val="1661602271"/>
      </c:lineChart>
      <c:catAx>
        <c:axId val="16615583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602271"/>
        <c:crosses val="autoZero"/>
        <c:auto val="1"/>
        <c:lblAlgn val="ctr"/>
        <c:lblOffset val="100"/>
        <c:noMultiLvlLbl val="0"/>
      </c:catAx>
      <c:valAx>
        <c:axId val="16616022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5583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Base scenario output block (editable model)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Demand Mt</c:v>
          </c:tx>
          <c:marker>
            <c:symbol val="none"/>
          </c:marker>
          <c:cat>
            <c:numRef>
              <c:f>'Scenario Model'!$B$5:$B$10</c:f>
              <c:numCache>
                <c:formatCode>General</c:formatCode>
                <c:ptCount val="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</c:numCache>
            </c:numRef>
          </c:cat>
          <c:val>
            <c:numRef>
              <c:f>'Scenario Model'!$C$5:$C$10</c:f>
              <c:numCache>
                <c:formatCode>#,##0.0</c:formatCode>
                <c:ptCount val="6"/>
                <c:pt idx="0">
                  <c:v>980</c:v>
                </c:pt>
                <c:pt idx="1">
                  <c:v>955.5</c:v>
                </c:pt>
                <c:pt idx="2">
                  <c:v>931.61249999999995</c:v>
                </c:pt>
                <c:pt idx="3">
                  <c:v>908.32218749999993</c:v>
                </c:pt>
                <c:pt idx="4">
                  <c:v>885.61413281249986</c:v>
                </c:pt>
                <c:pt idx="5">
                  <c:v>863.47377949218742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D59-F84A-8EA7-32FA818220E2}"/>
            </c:ext>
          </c:extLst>
        </c:ser>
        <c:ser>
          <c:idx val="1"/>
          <c:order val="1"/>
          <c:tx>
            <c:v>Supply Mt</c:v>
          </c:tx>
          <c:marker>
            <c:symbol val="none"/>
          </c:marker>
          <c:cat>
            <c:numRef>
              <c:f>'Scenario Model'!$B$5:$B$10</c:f>
              <c:numCache>
                <c:formatCode>General</c:formatCode>
                <c:ptCount val="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</c:numCache>
            </c:numRef>
          </c:cat>
          <c:val>
            <c:numRef>
              <c:f>'Scenario Model'!$D$5:$D$10</c:f>
              <c:numCache>
                <c:formatCode>#,##0.0</c:formatCode>
                <c:ptCount val="6"/>
                <c:pt idx="0">
                  <c:v>995</c:v>
                </c:pt>
                <c:pt idx="1">
                  <c:v>983.06</c:v>
                </c:pt>
                <c:pt idx="2">
                  <c:v>971.26328000000001</c:v>
                </c:pt>
                <c:pt idx="3">
                  <c:v>959.60812063999992</c:v>
                </c:pt>
                <c:pt idx="4">
                  <c:v>948.09282319232</c:v>
                </c:pt>
                <c:pt idx="5">
                  <c:v>936.7157093140122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D59-F84A-8EA7-32FA818220E2}"/>
            </c:ext>
          </c:extLst>
        </c:ser>
        <c:ser>
          <c:idx val="2"/>
          <c:order val="2"/>
          <c:tx>
            <c:v>Balance Mt</c:v>
          </c:tx>
          <c:marker>
            <c:symbol val="none"/>
          </c:marker>
          <c:cat>
            <c:numRef>
              <c:f>'Scenario Model'!$B$5:$B$10</c:f>
              <c:numCache>
                <c:formatCode>General</c:formatCode>
                <c:ptCount val="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</c:numCache>
            </c:numRef>
          </c:cat>
          <c:val>
            <c:numRef>
              <c:f>'Scenario Model'!$E$5:$E$10</c:f>
              <c:numCache>
                <c:formatCode>#,##0.0</c:formatCode>
                <c:ptCount val="6"/>
                <c:pt idx="0">
                  <c:v>15</c:v>
                </c:pt>
                <c:pt idx="1">
                  <c:v>27.559999999999945</c:v>
                </c:pt>
                <c:pt idx="2">
                  <c:v>39.650780000000054</c:v>
                </c:pt>
                <c:pt idx="3">
                  <c:v>51.285933139999997</c:v>
                </c:pt>
                <c:pt idx="4">
                  <c:v>62.478690379820137</c:v>
                </c:pt>
                <c:pt idx="5">
                  <c:v>73.241929821824783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D59-F84A-8EA7-32FA818220E2}"/>
            </c:ext>
          </c:extLst>
        </c:ser>
        <c:ser>
          <c:idx val="3"/>
          <c:order val="3"/>
          <c:tx>
            <c:v>Steel price $/t</c:v>
          </c:tx>
          <c:marker>
            <c:symbol val="none"/>
          </c:marker>
          <c:cat>
            <c:numRef>
              <c:f>'Scenario Model'!$B$5:$B$10</c:f>
              <c:numCache>
                <c:formatCode>General</c:formatCode>
                <c:ptCount val="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</c:numCache>
            </c:numRef>
          </c:cat>
          <c:val>
            <c:numRef>
              <c:f>'Scenario Model'!$F$5:$F$10</c:f>
              <c:numCache>
                <c:formatCode>#,##0.0</c:formatCode>
                <c:ptCount val="6"/>
                <c:pt idx="0">
                  <c:v>515.6884422110553</c:v>
                </c:pt>
                <c:pt idx="1">
                  <c:v>517.10183549325586</c:v>
                </c:pt>
                <c:pt idx="2">
                  <c:v>518.54167682387003</c:v>
                </c:pt>
                <c:pt idx="3">
                  <c:v>520.008190176423</c:v>
                </c:pt>
                <c:pt idx="4">
                  <c:v>521.50160189742166</c:v>
                </c:pt>
                <c:pt idx="5">
                  <c:v>523.02214072964591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D59-F84A-8EA7-32FA818220E2}"/>
            </c:ext>
          </c:extLst>
        </c:ser>
        <c:ser>
          <c:idx val="4"/>
          <c:order val="4"/>
          <c:tx>
            <c:v>Cash cost $/t</c:v>
          </c:tx>
          <c:marker>
            <c:symbol val="none"/>
          </c:marker>
          <c:cat>
            <c:numRef>
              <c:f>'Scenario Model'!$B$5:$B$10</c:f>
              <c:numCache>
                <c:formatCode>General</c:formatCode>
                <c:ptCount val="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</c:numCache>
            </c:numRef>
          </c:cat>
          <c:val>
            <c:numRef>
              <c:f>'Scenario Model'!$G$5:$G$10</c:f>
              <c:numCache>
                <c:formatCode>#,##0.0</c:formatCode>
                <c:ptCount val="6"/>
                <c:pt idx="0">
                  <c:v>455</c:v>
                </c:pt>
                <c:pt idx="1">
                  <c:v>458.97556250000002</c:v>
                </c:pt>
                <c:pt idx="2">
                  <c:v>462.98513625000004</c:v>
                </c:pt>
                <c:pt idx="3">
                  <c:v>467.02900391874994</c:v>
                </c:pt>
                <c:pt idx="4">
                  <c:v>471.10745042725</c:v>
                </c:pt>
                <c:pt idx="5">
                  <c:v>475.22076296552814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D59-F84A-8EA7-32FA818220E2}"/>
            </c:ext>
          </c:extLst>
        </c:ser>
        <c:ser>
          <c:idx val="5"/>
          <c:order val="5"/>
          <c:tx>
            <c:v>Margin $/t</c:v>
          </c:tx>
          <c:marker>
            <c:symbol val="none"/>
          </c:marker>
          <c:cat>
            <c:numRef>
              <c:f>'Scenario Model'!$B$5:$B$10</c:f>
              <c:numCache>
                <c:formatCode>General</c:formatCode>
                <c:ptCount val="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</c:numCache>
            </c:numRef>
          </c:cat>
          <c:val>
            <c:numRef>
              <c:f>'Scenario Model'!$H$5:$H$10</c:f>
              <c:numCache>
                <c:formatCode>#,##0.0</c:formatCode>
                <c:ptCount val="6"/>
                <c:pt idx="0">
                  <c:v>60.688442211055303</c:v>
                </c:pt>
                <c:pt idx="1">
                  <c:v>58.126272993255839</c:v>
                </c:pt>
                <c:pt idx="2">
                  <c:v>55.556540573869995</c:v>
                </c:pt>
                <c:pt idx="3">
                  <c:v>52.979186257673064</c:v>
                </c:pt>
                <c:pt idx="4">
                  <c:v>50.394151470171664</c:v>
                </c:pt>
                <c:pt idx="5">
                  <c:v>47.801377764117774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AD59-F84A-8EA7-32FA818220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#,##0.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t>2024 Crude Steel Production (Mt)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2024 Mt</c:v>
          </c:tx>
          <c:invertIfNegative val="1"/>
          <c:cat>
            <c:strRef>
              <c:f>Competitors!$A$5:$A$10</c:f>
              <c:strCache>
                <c:ptCount val="6"/>
                <c:pt idx="0">
                  <c:v>China Baowu</c:v>
                </c:pt>
                <c:pt idx="1">
                  <c:v>Ansteel</c:v>
                </c:pt>
                <c:pt idx="2">
                  <c:v>HBIS</c:v>
                </c:pt>
                <c:pt idx="3">
                  <c:v>Shagang</c:v>
                </c:pt>
                <c:pt idx="4">
                  <c:v>Jianlong</c:v>
                </c:pt>
                <c:pt idx="5">
                  <c:v>Shougang</c:v>
                </c:pt>
              </c:strCache>
            </c:strRef>
          </c:cat>
          <c:val>
            <c:numRef>
              <c:f>Competitors!$B$5:$B$10</c:f>
              <c:numCache>
                <c:formatCode>0.00</c:formatCode>
                <c:ptCount val="6"/>
                <c:pt idx="0">
                  <c:v>130.09</c:v>
                </c:pt>
                <c:pt idx="1">
                  <c:v>59.55</c:v>
                </c:pt>
                <c:pt idx="2">
                  <c:v>42.28</c:v>
                </c:pt>
                <c:pt idx="3">
                  <c:v>40.22</c:v>
                </c:pt>
                <c:pt idx="4">
                  <c:v>39.369999999999997</c:v>
                </c:pt>
                <c:pt idx="5">
                  <c:v>31.57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5BE-7245-B953-526D629094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ustomXml" Target="../ink/ink6.xml"/><Relationship Id="rId13" Type="http://schemas.openxmlformats.org/officeDocument/2006/relationships/customXml" Target="../ink/ink10.xml"/><Relationship Id="rId3" Type="http://schemas.openxmlformats.org/officeDocument/2006/relationships/image" Target="../media/image1.png"/><Relationship Id="rId7" Type="http://schemas.openxmlformats.org/officeDocument/2006/relationships/customXml" Target="../ink/ink5.xml"/><Relationship Id="rId12" Type="http://schemas.openxmlformats.org/officeDocument/2006/relationships/customXml" Target="../ink/ink9.xml"/><Relationship Id="rId17" Type="http://schemas.openxmlformats.org/officeDocument/2006/relationships/customXml" Target="../ink/ink14.xml"/><Relationship Id="rId2" Type="http://schemas.openxmlformats.org/officeDocument/2006/relationships/customXml" Target="../ink/ink1.xml"/><Relationship Id="rId16" Type="http://schemas.openxmlformats.org/officeDocument/2006/relationships/customXml" Target="../ink/ink13.xml"/><Relationship Id="rId1" Type="http://schemas.openxmlformats.org/officeDocument/2006/relationships/chart" Target="../charts/chart2.xml"/><Relationship Id="rId6" Type="http://schemas.openxmlformats.org/officeDocument/2006/relationships/customXml" Target="../ink/ink4.xml"/><Relationship Id="rId11" Type="http://schemas.openxmlformats.org/officeDocument/2006/relationships/customXml" Target="../ink/ink8.xml"/><Relationship Id="rId5" Type="http://schemas.openxmlformats.org/officeDocument/2006/relationships/customXml" Target="../ink/ink3.xml"/><Relationship Id="rId15" Type="http://schemas.openxmlformats.org/officeDocument/2006/relationships/customXml" Target="../ink/ink12.xml"/><Relationship Id="rId10" Type="http://schemas.openxmlformats.org/officeDocument/2006/relationships/customXml" Target="../ink/ink7.xml"/><Relationship Id="rId4" Type="http://schemas.openxmlformats.org/officeDocument/2006/relationships/customXml" Target="../ink/ink2.xml"/><Relationship Id="rId9" Type="http://schemas.openxmlformats.org/officeDocument/2006/relationships/image" Target="../media/image2.png"/><Relationship Id="rId14" Type="http://schemas.openxmlformats.org/officeDocument/2006/relationships/customXml" Target="../ink/ink1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10</xdr:row>
      <xdr:rowOff>0</xdr:rowOff>
    </xdr:from>
    <xdr:to>
      <xdr:col>14</xdr:col>
      <xdr:colOff>0</xdr:colOff>
      <xdr:row>27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1028700</xdr:colOff>
      <xdr:row>6</xdr:row>
      <xdr:rowOff>114300</xdr:rowOff>
    </xdr:from>
    <xdr:to>
      <xdr:col>7</xdr:col>
      <xdr:colOff>1143000</xdr:colOff>
      <xdr:row>25</xdr:row>
      <xdr:rowOff>139700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BFA48EC-7E45-5FBE-8784-160294F8159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1828020</xdr:colOff>
      <xdr:row>17</xdr:row>
      <xdr:rowOff>114840</xdr:rowOff>
    </xdr:from>
    <xdr:to>
      <xdr:col>4</xdr:col>
      <xdr:colOff>1828380</xdr:colOff>
      <xdr:row>17</xdr:row>
      <xdr:rowOff>115200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">
          <xdr14:nvContentPartPr>
            <xdr14:cNvPr id="4" name="Ink 3">
              <a:extLst>
                <a:ext uri="{FF2B5EF4-FFF2-40B4-BE49-F238E27FC236}">
                  <a16:creationId xmlns:a16="http://schemas.microsoft.com/office/drawing/2014/main" id="{A81067AD-B8BE-2B11-C807-19172917D308}"/>
                </a:ext>
              </a:extLst>
            </xdr14:cNvPr>
            <xdr14:cNvContentPartPr/>
          </xdr14:nvContentPartPr>
          <xdr14:nvPr macro=""/>
          <xdr14:xfrm>
            <a:off x="7047720" y="3315240"/>
            <a:ext cx="360" cy="360"/>
          </xdr14:xfrm>
        </xdr:contentPart>
      </mc:Choice>
      <mc:Fallback xmlns="">
        <xdr:pic>
          <xdr:nvPicPr>
            <xdr:cNvPr id="4" name="Ink 3">
              <a:extLst>
                <a:ext uri="{FF2B5EF4-FFF2-40B4-BE49-F238E27FC236}">
                  <a16:creationId xmlns:a16="http://schemas.microsoft.com/office/drawing/2014/main" id="{A81067AD-B8BE-2B11-C807-19172917D308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7041600" y="3309120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1037140</xdr:colOff>
      <xdr:row>20</xdr:row>
      <xdr:rowOff>59880</xdr:rowOff>
    </xdr:from>
    <xdr:to>
      <xdr:col>5</xdr:col>
      <xdr:colOff>1037500</xdr:colOff>
      <xdr:row>20</xdr:row>
      <xdr:rowOff>60240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">
          <xdr14:nvContentPartPr>
            <xdr14:cNvPr id="5" name="Ink 4">
              <a:extLst>
                <a:ext uri="{FF2B5EF4-FFF2-40B4-BE49-F238E27FC236}">
                  <a16:creationId xmlns:a16="http://schemas.microsoft.com/office/drawing/2014/main" id="{5B8280A1-B1E1-BE14-D687-CA5A7F985960}"/>
                </a:ext>
              </a:extLst>
            </xdr14:cNvPr>
            <xdr14:cNvContentPartPr/>
          </xdr14:nvContentPartPr>
          <xdr14:nvPr macro=""/>
          <xdr14:xfrm>
            <a:off x="8263440" y="3793680"/>
            <a:ext cx="360" cy="360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5B8280A1-B1E1-BE14-D687-CA5A7F985960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8257320" y="3787560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104540</xdr:colOff>
      <xdr:row>21</xdr:row>
      <xdr:rowOff>5920</xdr:rowOff>
    </xdr:from>
    <xdr:to>
      <xdr:col>6</xdr:col>
      <xdr:colOff>104900</xdr:colOff>
      <xdr:row>21</xdr:row>
      <xdr:rowOff>6280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">
          <xdr14:nvContentPartPr>
            <xdr14:cNvPr id="6" name="Ink 5">
              <a:extLst>
                <a:ext uri="{FF2B5EF4-FFF2-40B4-BE49-F238E27FC236}">
                  <a16:creationId xmlns:a16="http://schemas.microsoft.com/office/drawing/2014/main" id="{9E6A0F7F-6FB4-25B6-A99A-069069A16949}"/>
                </a:ext>
              </a:extLst>
            </xdr14:cNvPr>
            <xdr14:cNvContentPartPr/>
          </xdr14:nvContentPartPr>
          <xdr14:nvPr macro=""/>
          <xdr14:xfrm>
            <a:off x="9185040" y="3917520"/>
            <a:ext cx="360" cy="360"/>
          </xdr14:xfrm>
        </xdr:contentPart>
      </mc:Choice>
      <mc:Fallback xmlns="">
        <xdr:pic>
          <xdr:nvPicPr>
            <xdr:cNvPr id="6" name="Ink 5">
              <a:extLst>
                <a:ext uri="{FF2B5EF4-FFF2-40B4-BE49-F238E27FC236}">
                  <a16:creationId xmlns:a16="http://schemas.microsoft.com/office/drawing/2014/main" id="{9E6A0F7F-6FB4-25B6-A99A-069069A16949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9178920" y="3911400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288700</xdr:colOff>
      <xdr:row>33</xdr:row>
      <xdr:rowOff>128080</xdr:rowOff>
    </xdr:from>
    <xdr:to>
      <xdr:col>5</xdr:col>
      <xdr:colOff>289060</xdr:colOff>
      <xdr:row>33</xdr:row>
      <xdr:rowOff>128440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">
          <xdr14:nvContentPartPr>
            <xdr14:cNvPr id="7" name="Ink 6">
              <a:extLst>
                <a:ext uri="{FF2B5EF4-FFF2-40B4-BE49-F238E27FC236}">
                  <a16:creationId xmlns:a16="http://schemas.microsoft.com/office/drawing/2014/main" id="{CE48E542-8A3B-7F9E-6147-EC9733B52AAD}"/>
                </a:ext>
              </a:extLst>
            </xdr14:cNvPr>
            <xdr14:cNvContentPartPr/>
          </xdr14:nvContentPartPr>
          <xdr14:nvPr macro=""/>
          <xdr14:xfrm>
            <a:off x="7515000" y="6173280"/>
            <a:ext cx="360" cy="360"/>
          </xdr14:xfrm>
        </xdr:contentPart>
      </mc:Choice>
      <mc:Fallback xmlns="">
        <xdr:pic>
          <xdr:nvPicPr>
            <xdr:cNvPr id="7" name="Ink 6">
              <a:extLst>
                <a:ext uri="{FF2B5EF4-FFF2-40B4-BE49-F238E27FC236}">
                  <a16:creationId xmlns:a16="http://schemas.microsoft.com/office/drawing/2014/main" id="{CE48E542-8A3B-7F9E-6147-EC9733B52AAD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7508880" y="6167160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1187620</xdr:colOff>
      <xdr:row>27</xdr:row>
      <xdr:rowOff>85360</xdr:rowOff>
    </xdr:from>
    <xdr:to>
      <xdr:col>5</xdr:col>
      <xdr:colOff>1187980</xdr:colOff>
      <xdr:row>27</xdr:row>
      <xdr:rowOff>85720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">
          <xdr14:nvContentPartPr>
            <xdr14:cNvPr id="8" name="Ink 7">
              <a:extLst>
                <a:ext uri="{FF2B5EF4-FFF2-40B4-BE49-F238E27FC236}">
                  <a16:creationId xmlns:a16="http://schemas.microsoft.com/office/drawing/2014/main" id="{C111DF26-FD08-AB7F-6767-D9AFCC61481A}"/>
                </a:ext>
              </a:extLst>
            </xdr14:cNvPr>
            <xdr14:cNvContentPartPr/>
          </xdr14:nvContentPartPr>
          <xdr14:nvPr macro=""/>
          <xdr14:xfrm>
            <a:off x="8413920" y="5063760"/>
            <a:ext cx="360" cy="360"/>
          </xdr14:xfrm>
        </xdr:contentPart>
      </mc:Choice>
      <mc:Fallback xmlns="">
        <xdr:pic>
          <xdr:nvPicPr>
            <xdr:cNvPr id="8" name="Ink 7">
              <a:extLst>
                <a:ext uri="{FF2B5EF4-FFF2-40B4-BE49-F238E27FC236}">
                  <a16:creationId xmlns:a16="http://schemas.microsoft.com/office/drawing/2014/main" id="{C111DF26-FD08-AB7F-6767-D9AFCC61481A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8407800" y="5057640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1331620</xdr:colOff>
      <xdr:row>28</xdr:row>
      <xdr:rowOff>147320</xdr:rowOff>
    </xdr:from>
    <xdr:to>
      <xdr:col>5</xdr:col>
      <xdr:colOff>1333780</xdr:colOff>
      <xdr:row>28</xdr:row>
      <xdr:rowOff>151640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">
          <xdr14:nvContentPartPr>
            <xdr14:cNvPr id="9" name="Ink 8">
              <a:extLst>
                <a:ext uri="{FF2B5EF4-FFF2-40B4-BE49-F238E27FC236}">
                  <a16:creationId xmlns:a16="http://schemas.microsoft.com/office/drawing/2014/main" id="{45F425AD-FA2E-B78D-1B76-C360FD11EA06}"/>
                </a:ext>
              </a:extLst>
            </xdr14:cNvPr>
            <xdr14:cNvContentPartPr/>
          </xdr14:nvContentPartPr>
          <xdr14:nvPr macro=""/>
          <xdr14:xfrm>
            <a:off x="8557920" y="5303520"/>
            <a:ext cx="2160" cy="4320"/>
          </xdr14:xfrm>
        </xdr:contentPart>
      </mc:Choice>
      <mc:Fallback xmlns="">
        <xdr:pic>
          <xdr:nvPicPr>
            <xdr:cNvPr id="9" name="Ink 8">
              <a:extLst>
                <a:ext uri="{FF2B5EF4-FFF2-40B4-BE49-F238E27FC236}">
                  <a16:creationId xmlns:a16="http://schemas.microsoft.com/office/drawing/2014/main" id="{45F425AD-FA2E-B78D-1B76-C360FD11EA06}"/>
                </a:ext>
              </a:extLst>
            </xdr:cNvPr>
            <xdr:cNvPicPr/>
          </xdr:nvPicPr>
          <xdr:blipFill>
            <a:blip xmlns:r="http://schemas.openxmlformats.org/officeDocument/2006/relationships" r:embed="rId9"/>
            <a:stretch>
              <a:fillRect/>
            </a:stretch>
          </xdr:blipFill>
          <xdr:spPr>
            <a:xfrm>
              <a:off x="8551800" y="5297400"/>
              <a:ext cx="14400" cy="165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221900</xdr:colOff>
      <xdr:row>34</xdr:row>
      <xdr:rowOff>47480</xdr:rowOff>
    </xdr:from>
    <xdr:to>
      <xdr:col>6</xdr:col>
      <xdr:colOff>222260</xdr:colOff>
      <xdr:row>34</xdr:row>
      <xdr:rowOff>47840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0">
          <xdr14:nvContentPartPr>
            <xdr14:cNvPr id="10" name="Ink 9">
              <a:extLst>
                <a:ext uri="{FF2B5EF4-FFF2-40B4-BE49-F238E27FC236}">
                  <a16:creationId xmlns:a16="http://schemas.microsoft.com/office/drawing/2014/main" id="{D8555CC6-A36E-74EA-2867-484AA139E5A7}"/>
                </a:ext>
              </a:extLst>
            </xdr14:cNvPr>
            <xdr14:cNvContentPartPr/>
          </xdr14:nvContentPartPr>
          <xdr14:nvPr macro=""/>
          <xdr14:xfrm>
            <a:off x="9302400" y="6270480"/>
            <a:ext cx="360" cy="360"/>
          </xdr14:xfrm>
        </xdr:contentPart>
      </mc:Choice>
      <mc:Fallback xmlns="">
        <xdr:pic>
          <xdr:nvPicPr>
            <xdr:cNvPr id="10" name="Ink 9">
              <a:extLst>
                <a:ext uri="{FF2B5EF4-FFF2-40B4-BE49-F238E27FC236}">
                  <a16:creationId xmlns:a16="http://schemas.microsoft.com/office/drawing/2014/main" id="{D8555CC6-A36E-74EA-2867-484AA139E5A7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9296280" y="6264360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46220</xdr:colOff>
      <xdr:row>17</xdr:row>
      <xdr:rowOff>44640</xdr:rowOff>
    </xdr:from>
    <xdr:to>
      <xdr:col>6</xdr:col>
      <xdr:colOff>46580</xdr:colOff>
      <xdr:row>17</xdr:row>
      <xdr:rowOff>45000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">
          <xdr14:nvContentPartPr>
            <xdr14:cNvPr id="11" name="Ink 10">
              <a:extLst>
                <a:ext uri="{FF2B5EF4-FFF2-40B4-BE49-F238E27FC236}">
                  <a16:creationId xmlns:a16="http://schemas.microsoft.com/office/drawing/2014/main" id="{88489D24-5041-EBD2-5860-6D621D2BA77F}"/>
                </a:ext>
              </a:extLst>
            </xdr14:cNvPr>
            <xdr14:cNvContentPartPr/>
          </xdr14:nvContentPartPr>
          <xdr14:nvPr macro=""/>
          <xdr14:xfrm>
            <a:off x="9126720" y="3245040"/>
            <a:ext cx="360" cy="360"/>
          </xdr14:xfrm>
        </xdr:contentPart>
      </mc:Choice>
      <mc:Fallback xmlns="">
        <xdr:pic>
          <xdr:nvPicPr>
            <xdr:cNvPr id="11" name="Ink 10">
              <a:extLst>
                <a:ext uri="{FF2B5EF4-FFF2-40B4-BE49-F238E27FC236}">
                  <a16:creationId xmlns:a16="http://schemas.microsoft.com/office/drawing/2014/main" id="{88489D24-5041-EBD2-5860-6D621D2BA77F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9120600" y="3238920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1135780</xdr:colOff>
      <xdr:row>16</xdr:row>
      <xdr:rowOff>150440</xdr:rowOff>
    </xdr:from>
    <xdr:to>
      <xdr:col>5</xdr:col>
      <xdr:colOff>1136140</xdr:colOff>
      <xdr:row>16</xdr:row>
      <xdr:rowOff>150800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2">
          <xdr14:nvContentPartPr>
            <xdr14:cNvPr id="12" name="Ink 11">
              <a:extLst>
                <a:ext uri="{FF2B5EF4-FFF2-40B4-BE49-F238E27FC236}">
                  <a16:creationId xmlns:a16="http://schemas.microsoft.com/office/drawing/2014/main" id="{55632FD5-801C-346E-5672-3CF3FCB46476}"/>
                </a:ext>
              </a:extLst>
            </xdr14:cNvPr>
            <xdr14:cNvContentPartPr/>
          </xdr14:nvContentPartPr>
          <xdr14:nvPr macro=""/>
          <xdr14:xfrm>
            <a:off x="8362080" y="3173040"/>
            <a:ext cx="360" cy="360"/>
          </xdr14:xfrm>
        </xdr:contentPart>
      </mc:Choice>
      <mc:Fallback xmlns="">
        <xdr:pic>
          <xdr:nvPicPr>
            <xdr:cNvPr id="12" name="Ink 11">
              <a:extLst>
                <a:ext uri="{FF2B5EF4-FFF2-40B4-BE49-F238E27FC236}">
                  <a16:creationId xmlns:a16="http://schemas.microsoft.com/office/drawing/2014/main" id="{55632FD5-801C-346E-5672-3CF3FCB46476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8355960" y="3166920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1039280</xdr:colOff>
      <xdr:row>16</xdr:row>
      <xdr:rowOff>13640</xdr:rowOff>
    </xdr:from>
    <xdr:to>
      <xdr:col>3</xdr:col>
      <xdr:colOff>1039640</xdr:colOff>
      <xdr:row>16</xdr:row>
      <xdr:rowOff>14000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">
          <xdr14:nvContentPartPr>
            <xdr14:cNvPr id="13" name="Ink 12">
              <a:extLst>
                <a:ext uri="{FF2B5EF4-FFF2-40B4-BE49-F238E27FC236}">
                  <a16:creationId xmlns:a16="http://schemas.microsoft.com/office/drawing/2014/main" id="{7E88037D-8AEE-CCB1-C8AE-2A72F408F55F}"/>
                </a:ext>
              </a:extLst>
            </xdr14:cNvPr>
            <xdr14:cNvContentPartPr/>
          </xdr14:nvContentPartPr>
          <xdr14:nvPr macro=""/>
          <xdr14:xfrm>
            <a:off x="4747680" y="3036240"/>
            <a:ext cx="360" cy="360"/>
          </xdr14:xfrm>
        </xdr:contentPart>
      </mc:Choice>
      <mc:Fallback xmlns="">
        <xdr:pic>
          <xdr:nvPicPr>
            <xdr:cNvPr id="13" name="Ink 12">
              <a:extLst>
                <a:ext uri="{FF2B5EF4-FFF2-40B4-BE49-F238E27FC236}">
                  <a16:creationId xmlns:a16="http://schemas.microsoft.com/office/drawing/2014/main" id="{7E88037D-8AEE-CCB1-C8AE-2A72F408F55F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4741560" y="3030120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1657780</xdr:colOff>
      <xdr:row>37</xdr:row>
      <xdr:rowOff>29960</xdr:rowOff>
    </xdr:from>
    <xdr:to>
      <xdr:col>5</xdr:col>
      <xdr:colOff>1658140</xdr:colOff>
      <xdr:row>37</xdr:row>
      <xdr:rowOff>30320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4">
          <xdr14:nvContentPartPr>
            <xdr14:cNvPr id="14" name="Ink 13">
              <a:extLst>
                <a:ext uri="{FF2B5EF4-FFF2-40B4-BE49-F238E27FC236}">
                  <a16:creationId xmlns:a16="http://schemas.microsoft.com/office/drawing/2014/main" id="{28E289B4-8111-D03E-F6A6-04D04665A4D2}"/>
                </a:ext>
              </a:extLst>
            </xdr14:cNvPr>
            <xdr14:cNvContentPartPr/>
          </xdr14:nvContentPartPr>
          <xdr14:nvPr macro=""/>
          <xdr14:xfrm>
            <a:off x="8884080" y="6786360"/>
            <a:ext cx="360" cy="360"/>
          </xdr14:xfrm>
        </xdr:contentPart>
      </mc:Choice>
      <mc:Fallback xmlns="">
        <xdr:pic>
          <xdr:nvPicPr>
            <xdr:cNvPr id="14" name="Ink 13">
              <a:extLst>
                <a:ext uri="{FF2B5EF4-FFF2-40B4-BE49-F238E27FC236}">
                  <a16:creationId xmlns:a16="http://schemas.microsoft.com/office/drawing/2014/main" id="{28E289B4-8111-D03E-F6A6-04D04665A4D2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8877960" y="6780240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746620</xdr:colOff>
      <xdr:row>24</xdr:row>
      <xdr:rowOff>68680</xdr:rowOff>
    </xdr:from>
    <xdr:to>
      <xdr:col>5</xdr:col>
      <xdr:colOff>746980</xdr:colOff>
      <xdr:row>24</xdr:row>
      <xdr:rowOff>69040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5">
          <xdr14:nvContentPartPr>
            <xdr14:cNvPr id="15" name="Ink 14">
              <a:extLst>
                <a:ext uri="{FF2B5EF4-FFF2-40B4-BE49-F238E27FC236}">
                  <a16:creationId xmlns:a16="http://schemas.microsoft.com/office/drawing/2014/main" id="{50D9ADBA-CB91-5957-EE60-3143142F79B0}"/>
                </a:ext>
              </a:extLst>
            </xdr14:cNvPr>
            <xdr14:cNvContentPartPr/>
          </xdr14:nvContentPartPr>
          <xdr14:nvPr macro=""/>
          <xdr14:xfrm>
            <a:off x="7972920" y="4513680"/>
            <a:ext cx="360" cy="360"/>
          </xdr14:xfrm>
        </xdr:contentPart>
      </mc:Choice>
      <mc:Fallback xmlns="">
        <xdr:pic>
          <xdr:nvPicPr>
            <xdr:cNvPr id="15" name="Ink 14">
              <a:extLst>
                <a:ext uri="{FF2B5EF4-FFF2-40B4-BE49-F238E27FC236}">
                  <a16:creationId xmlns:a16="http://schemas.microsoft.com/office/drawing/2014/main" id="{50D9ADBA-CB91-5957-EE60-3143142F79B0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7966800" y="4507560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1325780</xdr:colOff>
      <xdr:row>4</xdr:row>
      <xdr:rowOff>84080</xdr:rowOff>
    </xdr:from>
    <xdr:to>
      <xdr:col>2</xdr:col>
      <xdr:colOff>1326140</xdr:colOff>
      <xdr:row>4</xdr:row>
      <xdr:rowOff>84440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6">
          <xdr14:nvContentPartPr>
            <xdr14:cNvPr id="35" name="Ink 34">
              <a:extLst>
                <a:ext uri="{FF2B5EF4-FFF2-40B4-BE49-F238E27FC236}">
                  <a16:creationId xmlns:a16="http://schemas.microsoft.com/office/drawing/2014/main" id="{248A07ED-341A-42D7-358A-ED28DD246734}"/>
                </a:ext>
              </a:extLst>
            </xdr14:cNvPr>
            <xdr14:cNvContentPartPr/>
          </xdr14:nvContentPartPr>
          <xdr14:nvPr macro=""/>
          <xdr14:xfrm>
            <a:off x="3395880" y="973080"/>
            <a:ext cx="360" cy="360"/>
          </xdr14:xfrm>
        </xdr:contentPart>
      </mc:Choice>
      <mc:Fallback xmlns="">
        <xdr:pic>
          <xdr:nvPicPr>
            <xdr:cNvPr id="35" name="Ink 34">
              <a:extLst>
                <a:ext uri="{FF2B5EF4-FFF2-40B4-BE49-F238E27FC236}">
                  <a16:creationId xmlns:a16="http://schemas.microsoft.com/office/drawing/2014/main" id="{248A07ED-341A-42D7-358A-ED28DD246734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3389760" y="966960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331520</xdr:colOff>
      <xdr:row>10</xdr:row>
      <xdr:rowOff>66680</xdr:rowOff>
    </xdr:from>
    <xdr:to>
      <xdr:col>3</xdr:col>
      <xdr:colOff>331880</xdr:colOff>
      <xdr:row>10</xdr:row>
      <xdr:rowOff>67040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7">
          <xdr14:nvContentPartPr>
            <xdr14:cNvPr id="36" name="Ink 35">
              <a:extLst>
                <a:ext uri="{FF2B5EF4-FFF2-40B4-BE49-F238E27FC236}">
                  <a16:creationId xmlns:a16="http://schemas.microsoft.com/office/drawing/2014/main" id="{D45F5A29-FB0D-4AF0-DEA4-1D633B92903D}"/>
                </a:ext>
              </a:extLst>
            </xdr14:cNvPr>
            <xdr14:cNvContentPartPr/>
          </xdr14:nvContentPartPr>
          <xdr14:nvPr macro=""/>
          <xdr14:xfrm>
            <a:off x="4039920" y="2022480"/>
            <a:ext cx="360" cy="360"/>
          </xdr14:xfrm>
        </xdr:contentPart>
      </mc:Choice>
      <mc:Fallback xmlns="">
        <xdr:pic>
          <xdr:nvPicPr>
            <xdr:cNvPr id="36" name="Ink 35">
              <a:extLst>
                <a:ext uri="{FF2B5EF4-FFF2-40B4-BE49-F238E27FC236}">
                  <a16:creationId xmlns:a16="http://schemas.microsoft.com/office/drawing/2014/main" id="{D45F5A29-FB0D-4AF0-DEA4-1D633B92903D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4033800" y="2016360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3</xdr:row>
      <xdr:rowOff>0</xdr:rowOff>
    </xdr:from>
    <xdr:to>
      <xdr:col>17</xdr:col>
      <xdr:colOff>0</xdr:colOff>
      <xdr:row>20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3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09T09:15:26.783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24575,'0'0'0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09T09:15:27.596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0 0 24575,'0'0'0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09T09:15:28.325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0 0 24575,'0'0'0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09T09:15:28.762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24575,'0'0'0</inkml:trace>
</inkml:ink>
</file>

<file path=xl/ink/ink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09T09:15:29.752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24575,'0'0'0</inkml:trace>
</inkml:ink>
</file>

<file path=xl/ink/ink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09T09:15:30.182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0 24575,'3'6'0,"-1"-1"0</inkml:trace>
</inkml:ink>
</file>

<file path=xl/ink/ink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09T09:15:31.528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0 24575,'0'0'0</inkml:trace>
</inkml:ink>
</file>

<file path=xl/ink/ink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09T09:15:32.251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0 24575,'0'0'0</inkml:trace>
</inkml:ink>
</file>

<file path=xl/ink/ink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09T09:15:32.812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0 1 24575,'0'0'0</inkml:trace>
</inkml:ink>
</file>

<file path=xl/ink/ink1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09T09:15:33.328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24575,'0'0'0</inkml:trace>
</inkml:ink>
</file>

<file path=xl/ink/ink1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09T09:15:33.979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24575,'0'0'0</inkml:trace>
</inkml:ink>
</file>

<file path=xl/ink/ink1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09T09:15:37.078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0 24575,'0'0'0</inkml:trace>
</inkml:ink>
</file>

<file path=xl/ink/ink1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09T09:16:13.191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0 0 24575,'0'0'0</inkml:trace>
</inkml:ink>
</file>

<file path=xl/ink/ink1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09T09:16:13.658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0 1 24575,'0'0'0</inkml:trace>
</inkml: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6243.713236805554" createdVersion="8" refreshedVersion="8" minRefreshableVersion="3" recordCount="104" xr:uid="{8F35FBD1-CFF3-4F48-9C75-74BFB79A9C91}">
  <cacheSource type="worksheet">
    <worksheetSource ref="A1:O105" sheet="Weekly Market"/>
  </cacheSource>
  <cacheFields count="15">
    <cacheField name="week_start" numFmtId="167">
      <sharedItems containsSemiMixedTypes="0" containsNonDate="0" containsDate="1" containsString="0" minDate="2024-01-01T00:00:00" maxDate="2025-12-23T00:00:00" count="104">
        <d v="2024-01-01T00:00:00"/>
        <d v="2024-01-08T00:00:00"/>
        <d v="2024-01-15T00:00:00"/>
        <d v="2024-01-22T00:00:00"/>
        <d v="2024-01-29T00:00:00"/>
        <d v="2024-02-05T00:00:00"/>
        <d v="2024-02-12T00:00:00"/>
        <d v="2024-02-19T00:00:00"/>
        <d v="2024-02-26T00:00:00"/>
        <d v="2024-03-04T00:00:00"/>
        <d v="2024-03-11T00:00:00"/>
        <d v="2024-03-18T00:00:00"/>
        <d v="2024-03-25T00:00:00"/>
        <d v="2024-04-01T00:00:00"/>
        <d v="2024-04-08T00:00:00"/>
        <d v="2024-04-15T00:00:00"/>
        <d v="2024-04-22T00:00:00"/>
        <d v="2024-04-29T00:00:00"/>
        <d v="2024-05-06T00:00:00"/>
        <d v="2024-05-13T00:00:00"/>
        <d v="2024-05-20T00:00:00"/>
        <d v="2024-05-27T00:00:00"/>
        <d v="2024-06-03T00:00:00"/>
        <d v="2024-06-10T00:00:00"/>
        <d v="2024-06-17T00:00:00"/>
        <d v="2024-06-24T00:00:00"/>
        <d v="2024-07-01T00:00:00"/>
        <d v="2024-07-08T00:00:00"/>
        <d v="2024-07-15T00:00:00"/>
        <d v="2024-07-22T00:00:00"/>
        <d v="2024-07-29T00:00:00"/>
        <d v="2024-08-05T00:00:00"/>
        <d v="2024-08-12T00:00:00"/>
        <d v="2024-08-19T00:00:00"/>
        <d v="2024-08-26T00:00:00"/>
        <d v="2024-09-02T00:00:00"/>
        <d v="2024-09-09T00:00:00"/>
        <d v="2024-09-16T00:00:00"/>
        <d v="2024-09-23T00:00:00"/>
        <d v="2024-09-30T00:00:00"/>
        <d v="2024-10-07T00:00:00"/>
        <d v="2024-10-14T00:00:00"/>
        <d v="2024-10-21T00:00:00"/>
        <d v="2024-10-28T00:00:00"/>
        <d v="2024-11-04T00:00:00"/>
        <d v="2024-11-11T00:00:00"/>
        <d v="2024-11-18T00:00:00"/>
        <d v="2024-11-25T00:00:00"/>
        <d v="2024-12-02T00:00:00"/>
        <d v="2024-12-09T00:00:00"/>
        <d v="2024-12-16T00:00:00"/>
        <d v="2024-12-23T00:00:00"/>
        <d v="2024-12-30T00:00:00"/>
        <d v="2025-01-06T00:00:00"/>
        <d v="2025-01-13T00:00:00"/>
        <d v="2025-01-20T00:00:00"/>
        <d v="2025-01-27T00:00:00"/>
        <d v="2025-02-03T00:00:00"/>
        <d v="2025-02-10T00:00:00"/>
        <d v="2025-02-17T00:00:00"/>
        <d v="2025-02-24T00:00:00"/>
        <d v="2025-03-03T00:00:00"/>
        <d v="2025-03-10T00:00:00"/>
        <d v="2025-03-17T00:00:00"/>
        <d v="2025-03-24T00:00:00"/>
        <d v="2025-03-31T00:00:00"/>
        <d v="2025-04-07T00:00:00"/>
        <d v="2025-04-14T00:00:00"/>
        <d v="2025-04-21T00:00:00"/>
        <d v="2025-04-28T00:00:00"/>
        <d v="2025-05-05T00:00:00"/>
        <d v="2025-05-12T00:00:00"/>
        <d v="2025-05-19T00:00:00"/>
        <d v="2025-05-26T00:00:00"/>
        <d v="2025-06-02T00:00:00"/>
        <d v="2025-06-09T00:00:00"/>
        <d v="2025-06-16T00:00:00"/>
        <d v="2025-06-23T00:00:00"/>
        <d v="2025-06-30T00:00:00"/>
        <d v="2025-07-07T00:00:00"/>
        <d v="2025-07-14T00:00:00"/>
        <d v="2025-07-21T00:00:00"/>
        <d v="2025-07-28T00:00:00"/>
        <d v="2025-08-04T00:00:00"/>
        <d v="2025-08-11T00:00:00"/>
        <d v="2025-08-18T00:00:00"/>
        <d v="2025-08-25T00:00:00"/>
        <d v="2025-09-01T00:00:00"/>
        <d v="2025-09-08T00:00:00"/>
        <d v="2025-09-15T00:00:00"/>
        <d v="2025-09-22T00:00:00"/>
        <d v="2025-09-29T00:00:00"/>
        <d v="2025-10-06T00:00:00"/>
        <d v="2025-10-13T00:00:00"/>
        <d v="2025-10-20T00:00:00"/>
        <d v="2025-10-27T00:00:00"/>
        <d v="2025-11-03T00:00:00"/>
        <d v="2025-11-10T00:00:00"/>
        <d v="2025-11-17T00:00:00"/>
        <d v="2025-11-24T00:00:00"/>
        <d v="2025-12-01T00:00:00"/>
        <d v="2025-12-08T00:00:00"/>
        <d v="2025-12-15T00:00:00"/>
        <d v="2025-12-22T00:00:00"/>
      </sharedItems>
    </cacheField>
    <cacheField name="hrc_usd_t" numFmtId="168">
      <sharedItems containsSemiMixedTypes="0" containsString="0" containsNumber="1" minValue="502.98" maxValue="583.04999999999995"/>
    </cacheField>
    <cacheField name="rebar_usd_t" numFmtId="168">
      <sharedItems containsSemiMixedTypes="0" containsString="0" containsNumber="1" minValue="440.35" maxValue="558.32000000000005"/>
    </cacheField>
    <cacheField name="iron_ore_usd_t" numFmtId="168">
      <sharedItems containsSemiMixedTypes="0" containsString="0" containsNumber="1" minValue="81.88" maxValue="127.86"/>
    </cacheField>
    <cacheField name="coking_coal_usd_t" numFmtId="168">
      <sharedItems containsSemiMixedTypes="0" containsString="0" containsNumber="1" minValue="172.25" maxValue="284.06"/>
    </cacheField>
    <cacheField name="scrap_usd_t" numFmtId="168">
      <sharedItems containsSemiMixedTypes="0" containsString="0" containsNumber="1" minValue="319.60000000000002" maxValue="393.02"/>
    </cacheField>
    <cacheField name="crude_steel_output_mt" numFmtId="169">
      <sharedItems containsSemiMixedTypes="0" containsString="0" containsNumber="1" minValue="17.422000000000001" maxValue="20.87"/>
    </cacheField>
    <cacheField name="apparent_demand_mt" numFmtId="169">
      <sharedItems containsSemiMixedTypes="0" containsString="0" containsNumber="1" minValue="16.798999999999999" maxValue="20.006"/>
    </cacheField>
    <cacheField name="exports_mt" numFmtId="169">
      <sharedItems containsSemiMixedTypes="0" containsString="0" containsNumber="1" minValue="2.0870000000000002" maxValue="3.234"/>
    </cacheField>
    <cacheField name="bf_bof_cost_usd_t" numFmtId="168">
      <sharedItems containsSemiMixedTypes="0" containsString="0" containsNumber="1" minValue="288.33999999999997" maxValue="397.37"/>
    </cacheField>
    <cacheField name="eaf_cost_usd_t" numFmtId="168">
      <sharedItems containsSemiMixedTypes="0" containsString="0" containsNumber="1" minValue="315.29000000000002" maxValue="372.56"/>
    </cacheField>
    <cacheField name="blended_cost_usd_t" numFmtId="168">
      <sharedItems containsSemiMixedTypes="0" containsString="0" containsNumber="1" minValue="292.7" maxValue="392.22"/>
    </cacheField>
    <cacheField name="hrc_margin_usd_t" numFmtId="168">
      <sharedItems containsSemiMixedTypes="0" containsString="0" containsNumber="1" minValue="136.83000000000001" maxValue="206.81"/>
    </cacheField>
    <cacheField name="is_synthetic" numFmtId="0">
      <sharedItems containsSemiMixedTypes="0" containsString="0" containsNumber="1" containsInteger="1" minValue="1" maxValue="1"/>
    </cacheField>
    <cacheField name="month" numFmtId="0">
      <sharedItems count="24">
        <s v="2024-01"/>
        <s v="2024-02"/>
        <s v="2024-03"/>
        <s v="2024-04"/>
        <s v="2024-05"/>
        <s v="2024-06"/>
        <s v="2024-07"/>
        <s v="2024-08"/>
        <s v="2024-09"/>
        <s v="2024-10"/>
        <s v="2024-11"/>
        <s v="2024-12"/>
        <s v="2025-01"/>
        <s v="2025-02"/>
        <s v="2025-03"/>
        <s v="2025-04"/>
        <s v="2025-05"/>
        <s v="2025-06"/>
        <s v="2025-07"/>
        <s v="2025-08"/>
        <s v="2025-09"/>
        <s v="2025-10"/>
        <s v="2025-11"/>
        <s v="2025-12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4">
  <r>
    <x v="0"/>
    <n v="563.20000000000005"/>
    <n v="502.07"/>
    <n v="110.64"/>
    <n v="268.47000000000003"/>
    <n v="370.68"/>
    <n v="19.581"/>
    <n v="18.847000000000001"/>
    <n v="2.089"/>
    <n v="369.27"/>
    <n v="355.13"/>
    <n v="367.57"/>
    <n v="161.63"/>
    <n v="1"/>
    <x v="0"/>
  </r>
  <r>
    <x v="1"/>
    <n v="570.94000000000005"/>
    <n v="517.45000000000005"/>
    <n v="113.65"/>
    <n v="273.98"/>
    <n v="360.13"/>
    <n v="20.099"/>
    <n v="19.056000000000001"/>
    <n v="2.1280000000000001"/>
    <n v="376.82"/>
    <n v="346.9"/>
    <n v="373.23"/>
    <n v="163.69999999999999"/>
    <n v="1"/>
    <x v="0"/>
  </r>
  <r>
    <x v="2"/>
    <n v="566.09"/>
    <n v="497.03"/>
    <n v="106.09"/>
    <n v="260.35000000000002"/>
    <n v="367.83"/>
    <n v="19.734000000000002"/>
    <n v="19.62"/>
    <n v="2.0870000000000002"/>
    <n v="357.92"/>
    <n v="352.9"/>
    <n v="357.32"/>
    <n v="174.77"/>
    <n v="1"/>
    <x v="0"/>
  </r>
  <r>
    <x v="3"/>
    <n v="559.9"/>
    <n v="507.91"/>
    <n v="112.41"/>
    <n v="284.06"/>
    <n v="380.93"/>
    <n v="19.548999999999999"/>
    <n v="19.727"/>
    <n v="2.0910000000000002"/>
    <n v="379.89"/>
    <n v="363.12"/>
    <n v="377.88"/>
    <n v="148.03"/>
    <n v="1"/>
    <x v="0"/>
  </r>
  <r>
    <x v="4"/>
    <n v="570.71"/>
    <n v="528.74"/>
    <n v="114.6"/>
    <n v="244.7"/>
    <n v="358.63"/>
    <n v="19.661000000000001"/>
    <n v="19.456"/>
    <n v="2.2069999999999999"/>
    <n v="363.7"/>
    <n v="345.73"/>
    <n v="361.55"/>
    <n v="175.16"/>
    <n v="1"/>
    <x v="0"/>
  </r>
  <r>
    <x v="5"/>
    <n v="558.95000000000005"/>
    <n v="527.1"/>
    <n v="114.62"/>
    <n v="266.39"/>
    <n v="379.33"/>
    <n v="20.399999999999999"/>
    <n v="19.523"/>
    <n v="2.1859999999999999"/>
    <n v="374.58"/>
    <n v="361.88"/>
    <n v="373.06"/>
    <n v="151.88999999999999"/>
    <n v="1"/>
    <x v="1"/>
  </r>
  <r>
    <x v="6"/>
    <n v="560.35"/>
    <n v="524.76"/>
    <n v="115.36"/>
    <n v="271.93"/>
    <n v="371.83"/>
    <n v="20.303999999999998"/>
    <n v="19.446999999999999"/>
    <n v="2.2290000000000001"/>
    <n v="378.54"/>
    <n v="356.03"/>
    <n v="375.84"/>
    <n v="150.51"/>
    <n v="1"/>
    <x v="1"/>
  </r>
  <r>
    <x v="7"/>
    <n v="571.80999999999995"/>
    <n v="517.53"/>
    <n v="114.8"/>
    <n v="253.24"/>
    <n v="380.89"/>
    <n v="20.87"/>
    <n v="19.591999999999999"/>
    <n v="2.3380000000000001"/>
    <n v="368.31"/>
    <n v="363.1"/>
    <n v="367.68"/>
    <n v="170.13"/>
    <n v="1"/>
    <x v="1"/>
  </r>
  <r>
    <x v="8"/>
    <n v="570.75"/>
    <n v="533.48"/>
    <n v="115.41"/>
    <n v="274.33"/>
    <n v="377.7"/>
    <n v="20.452000000000002"/>
    <n v="19.96"/>
    <n v="2.21"/>
    <n v="379.82"/>
    <n v="360.61"/>
    <n v="377.51"/>
    <n v="159.24"/>
    <n v="1"/>
    <x v="1"/>
  </r>
  <r>
    <x v="9"/>
    <n v="570.13"/>
    <n v="520.71"/>
    <n v="127.86"/>
    <n v="269.60000000000002"/>
    <n v="369.81"/>
    <n v="20.62"/>
    <n v="19.224"/>
    <n v="2.2160000000000002"/>
    <n v="397.37"/>
    <n v="354.45"/>
    <n v="392.22"/>
    <n v="143.91"/>
    <n v="1"/>
    <x v="2"/>
  </r>
  <r>
    <x v="10"/>
    <n v="580.96"/>
    <n v="546.23"/>
    <n v="118.4"/>
    <n v="275.86"/>
    <n v="382.31"/>
    <n v="20.529"/>
    <n v="19.213999999999999"/>
    <n v="2.2330000000000001"/>
    <n v="385.38"/>
    <n v="364.2"/>
    <n v="382.83"/>
    <n v="164.12"/>
    <n v="1"/>
    <x v="2"/>
  </r>
  <r>
    <x v="11"/>
    <n v="557.17999999999995"/>
    <n v="545.98"/>
    <n v="122.6"/>
    <n v="259.44"/>
    <n v="377.74"/>
    <n v="20.43"/>
    <n v="19.577999999999999"/>
    <n v="2.2610000000000001"/>
    <n v="383.88"/>
    <n v="360.64"/>
    <n v="381.09"/>
    <n v="142.09"/>
    <n v="1"/>
    <x v="2"/>
  </r>
  <r>
    <x v="12"/>
    <n v="571.97"/>
    <n v="531.95000000000005"/>
    <n v="120.28"/>
    <n v="278.20999999999998"/>
    <n v="393.02"/>
    <n v="20.581"/>
    <n v="19.332999999999998"/>
    <n v="2.2759999999999998"/>
    <n v="389.55"/>
    <n v="372.56"/>
    <n v="387.52"/>
    <n v="150.44999999999999"/>
    <n v="1"/>
    <x v="2"/>
  </r>
  <r>
    <x v="13"/>
    <n v="575.09"/>
    <n v="558.32000000000005"/>
    <n v="116.07"/>
    <n v="263.42"/>
    <n v="385.99"/>
    <n v="20.501999999999999"/>
    <n v="19.524999999999999"/>
    <n v="2.306"/>
    <n v="375.42"/>
    <n v="367.07"/>
    <n v="374.42"/>
    <n v="166.67"/>
    <n v="1"/>
    <x v="3"/>
  </r>
  <r>
    <x v="14"/>
    <n v="576.23"/>
    <n v="536.76"/>
    <n v="112.47"/>
    <n v="253.54"/>
    <n v="368.61"/>
    <n v="20.317"/>
    <n v="19.745999999999999"/>
    <n v="2.2879999999999998"/>
    <n v="364.73"/>
    <n v="353.51"/>
    <n v="363.38"/>
    <n v="178.85"/>
    <n v="1"/>
    <x v="3"/>
  </r>
  <r>
    <x v="15"/>
    <n v="583.04999999999995"/>
    <n v="539.76"/>
    <n v="114.88"/>
    <n v="255.03"/>
    <n v="378.02"/>
    <n v="20.606000000000002"/>
    <n v="19.497"/>
    <n v="2.3210000000000002"/>
    <n v="369.32"/>
    <n v="360.85"/>
    <n v="368.3"/>
    <n v="180.74"/>
    <n v="1"/>
    <x v="3"/>
  </r>
  <r>
    <x v="16"/>
    <n v="579.61"/>
    <n v="535.99"/>
    <n v="115.28"/>
    <n v="228.77"/>
    <n v="371.37"/>
    <n v="20.64"/>
    <n v="19.738"/>
    <n v="2.339"/>
    <n v="356.84"/>
    <n v="355.67"/>
    <n v="356.7"/>
    <n v="188.92"/>
    <n v="1"/>
    <x v="3"/>
  </r>
  <r>
    <x v="17"/>
    <n v="568.46"/>
    <n v="547.16"/>
    <n v="117.1"/>
    <n v="226.88"/>
    <n v="378.04"/>
    <n v="20.138000000000002"/>
    <n v="20.006"/>
    <n v="2.4670000000000001"/>
    <n v="358.8"/>
    <n v="360.87"/>
    <n v="359.04"/>
    <n v="175.42"/>
    <n v="1"/>
    <x v="3"/>
  </r>
  <r>
    <x v="18"/>
    <n v="572.53"/>
    <n v="535.09"/>
    <n v="118.48"/>
    <n v="224.28"/>
    <n v="378.17"/>
    <n v="20.599"/>
    <n v="19.52"/>
    <n v="2.335"/>
    <n v="359.7"/>
    <n v="360.97"/>
    <n v="359.86"/>
    <n v="178.67"/>
    <n v="1"/>
    <x v="4"/>
  </r>
  <r>
    <x v="19"/>
    <n v="573.04999999999995"/>
    <n v="544.34"/>
    <n v="121.59"/>
    <n v="235.84"/>
    <n v="374.41"/>
    <n v="19.73"/>
    <n v="19.263000000000002"/>
    <n v="2.327"/>
    <n v="370.47"/>
    <n v="358.04"/>
    <n v="368.98"/>
    <n v="170.08"/>
    <n v="1"/>
    <x v="4"/>
  </r>
  <r>
    <x v="20"/>
    <n v="559.13"/>
    <n v="542.41999999999996"/>
    <n v="107.43"/>
    <n v="221.93"/>
    <n v="368.39"/>
    <n v="19.736000000000001"/>
    <n v="18.952999999999999"/>
    <n v="2.4289999999999998"/>
    <n v="340.85"/>
    <n v="353.34"/>
    <n v="342.35"/>
    <n v="182.78"/>
    <n v="1"/>
    <x v="4"/>
  </r>
  <r>
    <x v="21"/>
    <n v="566.64"/>
    <n v="529.54999999999995"/>
    <n v="113.02"/>
    <n v="211.35"/>
    <n v="363.65"/>
    <n v="20.437999999999999"/>
    <n v="18.920999999999999"/>
    <n v="2.4209999999999998"/>
    <n v="344.51"/>
    <n v="349.65"/>
    <n v="345.13"/>
    <n v="187.52"/>
    <n v="1"/>
    <x v="4"/>
  </r>
  <r>
    <x v="22"/>
    <n v="547.42999999999995"/>
    <n v="543.92999999999995"/>
    <n v="116.8"/>
    <n v="207.4"/>
    <n v="367.68"/>
    <n v="19.753"/>
    <n v="18.558"/>
    <n v="2.379"/>
    <n v="348.57"/>
    <n v="352.79"/>
    <n v="349.08"/>
    <n v="164.35"/>
    <n v="1"/>
    <x v="5"/>
  </r>
  <r>
    <x v="23"/>
    <n v="552.39"/>
    <n v="537.34"/>
    <n v="113.22"/>
    <n v="217.44"/>
    <n v="363.08"/>
    <n v="19.933"/>
    <n v="19.238"/>
    <n v="2.323"/>
    <n v="347.87"/>
    <n v="349.21"/>
    <n v="348.03"/>
    <n v="170.36"/>
    <n v="1"/>
    <x v="5"/>
  </r>
  <r>
    <x v="24"/>
    <n v="551.55999999999995"/>
    <n v="538.82000000000005"/>
    <n v="111.54"/>
    <n v="208.53"/>
    <n v="370.04"/>
    <n v="19.52"/>
    <n v="18.861000000000001"/>
    <n v="2.3769999999999998"/>
    <n v="340.73"/>
    <n v="354.63"/>
    <n v="342.4"/>
    <n v="175.16"/>
    <n v="1"/>
    <x v="5"/>
  </r>
  <r>
    <x v="25"/>
    <n v="557.54"/>
    <n v="532.08000000000004"/>
    <n v="107"/>
    <n v="199.88"/>
    <n v="356.17"/>
    <n v="19.628"/>
    <n v="18.765999999999998"/>
    <n v="2.3260000000000001"/>
    <n v="329.14"/>
    <n v="343.82"/>
    <n v="330.9"/>
    <n v="192.64"/>
    <n v="1"/>
    <x v="5"/>
  </r>
  <r>
    <x v="26"/>
    <n v="558.27"/>
    <n v="521.15"/>
    <n v="101.91"/>
    <n v="208.97"/>
    <n v="370.97"/>
    <n v="19.308"/>
    <n v="18.745999999999999"/>
    <n v="2.3580000000000001"/>
    <n v="325.54000000000002"/>
    <n v="355.35"/>
    <n v="329.12"/>
    <n v="195.16"/>
    <n v="1"/>
    <x v="6"/>
  </r>
  <r>
    <x v="27"/>
    <n v="540.95000000000005"/>
    <n v="527.37"/>
    <n v="107.54"/>
    <n v="197.83"/>
    <n v="360.6"/>
    <n v="19.105"/>
    <n v="18.265000000000001"/>
    <n v="2.391"/>
    <n v="328.98"/>
    <n v="347.27"/>
    <n v="331.17"/>
    <n v="175.77"/>
    <n v="1"/>
    <x v="6"/>
  </r>
  <r>
    <x v="28"/>
    <n v="543.66999999999996"/>
    <n v="518.89"/>
    <n v="104.35"/>
    <n v="195.46"/>
    <n v="353.3"/>
    <n v="19.574999999999999"/>
    <n v="18.707999999999998"/>
    <n v="2.4079999999999999"/>
    <n v="322.69"/>
    <n v="341.57"/>
    <n v="324.95999999999998"/>
    <n v="184.71"/>
    <n v="1"/>
    <x v="6"/>
  </r>
  <r>
    <x v="29"/>
    <n v="538.58000000000004"/>
    <n v="514.9"/>
    <n v="98.55"/>
    <n v="197.09"/>
    <n v="348.41"/>
    <n v="18.956"/>
    <n v="18.501999999999999"/>
    <n v="2.2799999999999998"/>
    <n v="314.22000000000003"/>
    <n v="337.76"/>
    <n v="317.05"/>
    <n v="187.53"/>
    <n v="1"/>
    <x v="6"/>
  </r>
  <r>
    <x v="30"/>
    <n v="537.09"/>
    <n v="510.43"/>
    <n v="98.64"/>
    <n v="198.69"/>
    <n v="343.69"/>
    <n v="19.196999999999999"/>
    <n v="18.215"/>
    <n v="2.444"/>
    <n v="315.17"/>
    <n v="334.07"/>
    <n v="317.43"/>
    <n v="185.65"/>
    <n v="1"/>
    <x v="6"/>
  </r>
  <r>
    <x v="31"/>
    <n v="536.29"/>
    <n v="508.62"/>
    <n v="99.09"/>
    <n v="188.73"/>
    <n v="360.41"/>
    <n v="18.968"/>
    <n v="18.396999999999998"/>
    <n v="2.282"/>
    <n v="310.91000000000003"/>
    <n v="347.12"/>
    <n v="315.26"/>
    <n v="187.03"/>
    <n v="1"/>
    <x v="7"/>
  </r>
  <r>
    <x v="32"/>
    <n v="537.36"/>
    <n v="497.24"/>
    <n v="100.72"/>
    <n v="185.29"/>
    <n v="340.07"/>
    <n v="18.652000000000001"/>
    <n v="17.805"/>
    <n v="2.306"/>
    <n v="311.79000000000002"/>
    <n v="331.25"/>
    <n v="314.13"/>
    <n v="189.23"/>
    <n v="1"/>
    <x v="7"/>
  </r>
  <r>
    <x v="33"/>
    <n v="529.04"/>
    <n v="500.76"/>
    <n v="93.28"/>
    <n v="191.98"/>
    <n v="340.48"/>
    <n v="18.494"/>
    <n v="18.228999999999999"/>
    <n v="2.3050000000000002"/>
    <n v="303.24"/>
    <n v="331.57"/>
    <n v="306.64"/>
    <n v="188.4"/>
    <n v="1"/>
    <x v="7"/>
  </r>
  <r>
    <x v="34"/>
    <n v="542.17999999999995"/>
    <n v="501.28"/>
    <n v="88.35"/>
    <n v="196.1"/>
    <n v="339.09"/>
    <n v="18.797999999999998"/>
    <n v="18.033000000000001"/>
    <n v="2.3690000000000002"/>
    <n v="297.41000000000003"/>
    <n v="330.49"/>
    <n v="301.38"/>
    <n v="206.81"/>
    <n v="1"/>
    <x v="7"/>
  </r>
  <r>
    <x v="35"/>
    <n v="507.64"/>
    <n v="492.92"/>
    <n v="86.69"/>
    <n v="188.47"/>
    <n v="338.47"/>
    <n v="18.858000000000001"/>
    <n v="17.844999999999999"/>
    <n v="2.3929999999999998"/>
    <n v="290.94"/>
    <n v="330"/>
    <n v="295.63"/>
    <n v="178.01"/>
    <n v="1"/>
    <x v="8"/>
  </r>
  <r>
    <x v="36"/>
    <n v="534.34"/>
    <n v="496.17"/>
    <n v="88.75"/>
    <n v="191.22"/>
    <n v="337.81"/>
    <n v="18.199000000000002"/>
    <n v="17.600000000000001"/>
    <n v="2.391"/>
    <n v="295.61"/>
    <n v="329.49"/>
    <n v="299.67"/>
    <n v="200.67"/>
    <n v="1"/>
    <x v="8"/>
  </r>
  <r>
    <x v="37"/>
    <n v="523.36"/>
    <n v="474.12"/>
    <n v="97.41"/>
    <n v="205.91"/>
    <n v="335.23"/>
    <n v="18.555"/>
    <n v="17.704000000000001"/>
    <n v="2.323"/>
    <n v="316.82"/>
    <n v="327.48"/>
    <n v="318.10000000000002"/>
    <n v="171.26"/>
    <n v="1"/>
    <x v="8"/>
  </r>
  <r>
    <x v="38"/>
    <n v="528.25"/>
    <n v="484.31"/>
    <n v="96.8"/>
    <n v="204.75"/>
    <n v="338.18"/>
    <n v="18.321999999999999"/>
    <n v="17.835999999999999"/>
    <n v="2.3570000000000002"/>
    <n v="315.25"/>
    <n v="329.78"/>
    <n v="317"/>
    <n v="177.25"/>
    <n v="1"/>
    <x v="8"/>
  </r>
  <r>
    <x v="39"/>
    <n v="536.66999999999996"/>
    <n v="476.28"/>
    <n v="97.36"/>
    <n v="211.81"/>
    <n v="339.43"/>
    <n v="18.495999999999999"/>
    <n v="17.975000000000001"/>
    <n v="2.399"/>
    <n v="319.67"/>
    <n v="330.75"/>
    <n v="321"/>
    <n v="181.66"/>
    <n v="1"/>
    <x v="8"/>
  </r>
  <r>
    <x v="40"/>
    <n v="526.35"/>
    <n v="470.36"/>
    <n v="94.48"/>
    <n v="205.11"/>
    <n v="324.77999999999997"/>
    <n v="18.498999999999999"/>
    <n v="17.809000000000001"/>
    <n v="2.3980000000000001"/>
    <n v="311.72000000000003"/>
    <n v="319.33"/>
    <n v="312.64"/>
    <n v="179.72"/>
    <n v="1"/>
    <x v="9"/>
  </r>
  <r>
    <x v="41"/>
    <n v="513.24"/>
    <n v="498.8"/>
    <n v="92.83"/>
    <n v="203.55"/>
    <n v="334.05"/>
    <n v="18.777999999999999"/>
    <n v="17.762"/>
    <n v="2.4969999999999999"/>
    <n v="308.3"/>
    <n v="326.56"/>
    <n v="310.49"/>
    <n v="168.75"/>
    <n v="1"/>
    <x v="9"/>
  </r>
  <r>
    <x v="42"/>
    <n v="532.91999999999996"/>
    <n v="476.57"/>
    <n v="93.86"/>
    <n v="222.21"/>
    <n v="342.04"/>
    <n v="18.431000000000001"/>
    <n v="17.77"/>
    <n v="2.44"/>
    <n v="319.27999999999997"/>
    <n v="332.79"/>
    <n v="320.89999999999998"/>
    <n v="178.02"/>
    <n v="1"/>
    <x v="9"/>
  </r>
  <r>
    <x v="43"/>
    <n v="518.48"/>
    <n v="479.24"/>
    <n v="91.89"/>
    <n v="219.71"/>
    <n v="341.32"/>
    <n v="18.588000000000001"/>
    <n v="17.792999999999999"/>
    <n v="2.37"/>
    <n v="314.87"/>
    <n v="332.23"/>
    <n v="316.95"/>
    <n v="167.52"/>
    <n v="1"/>
    <x v="9"/>
  </r>
  <r>
    <x v="44"/>
    <n v="519.91999999999996"/>
    <n v="469.51"/>
    <n v="95.71"/>
    <n v="228.83"/>
    <n v="336.36"/>
    <n v="18.616"/>
    <n v="17.998999999999999"/>
    <n v="2.4159999999999999"/>
    <n v="325.55"/>
    <n v="328.36"/>
    <n v="325.89"/>
    <n v="160.03"/>
    <n v="1"/>
    <x v="10"/>
  </r>
  <r>
    <x v="45"/>
    <n v="528.32000000000005"/>
    <n v="478.23"/>
    <n v="90.88"/>
    <n v="236.15"/>
    <n v="335.86"/>
    <n v="18.86"/>
    <n v="17.716000000000001"/>
    <n v="2.456"/>
    <n v="321.48"/>
    <n v="327.97"/>
    <n v="322.26"/>
    <n v="172.06"/>
    <n v="1"/>
    <x v="10"/>
  </r>
  <r>
    <x v="46"/>
    <n v="524.83000000000004"/>
    <n v="496.69"/>
    <n v="95.9"/>
    <n v="246.12"/>
    <n v="350.22"/>
    <n v="18.631"/>
    <n v="17.652999999999999"/>
    <n v="2.5289999999999999"/>
    <n v="334.5"/>
    <n v="339.17"/>
    <n v="335.06"/>
    <n v="155.77000000000001"/>
    <n v="1"/>
    <x v="10"/>
  </r>
  <r>
    <x v="47"/>
    <n v="515.25"/>
    <n v="497.52"/>
    <n v="97.37"/>
    <n v="227.81"/>
    <n v="351.03"/>
    <n v="18.690000000000001"/>
    <n v="18.116"/>
    <n v="2.6269999999999998"/>
    <n v="327.7"/>
    <n v="339.8"/>
    <n v="329.16"/>
    <n v="152.1"/>
    <n v="1"/>
    <x v="10"/>
  </r>
  <r>
    <x v="48"/>
    <n v="517.38"/>
    <n v="477.7"/>
    <n v="95.11"/>
    <n v="245.43"/>
    <n v="339.92"/>
    <n v="18.855"/>
    <n v="17.98"/>
    <n v="2.6829999999999998"/>
    <n v="332.89"/>
    <n v="331.13"/>
    <n v="332.68"/>
    <n v="150.69999999999999"/>
    <n v="1"/>
    <x v="11"/>
  </r>
  <r>
    <x v="49"/>
    <n v="520.84"/>
    <n v="479.93"/>
    <n v="104.93"/>
    <n v="250.78"/>
    <n v="352.15"/>
    <n v="18.571999999999999"/>
    <n v="17.789000000000001"/>
    <n v="2.6349999999999998"/>
    <n v="351.28"/>
    <n v="340.67"/>
    <n v="350.01"/>
    <n v="136.83000000000001"/>
    <n v="1"/>
    <x v="11"/>
  </r>
  <r>
    <x v="50"/>
    <n v="527.79999999999995"/>
    <n v="500.64"/>
    <n v="101.48"/>
    <n v="253.27"/>
    <n v="354.64"/>
    <n v="18.916"/>
    <n v="18.408999999999999"/>
    <n v="2.5459999999999998"/>
    <n v="346.99"/>
    <n v="342.62"/>
    <n v="346.47"/>
    <n v="147.33000000000001"/>
    <n v="1"/>
    <x v="11"/>
  </r>
  <r>
    <x v="51"/>
    <n v="553.11"/>
    <n v="491.99"/>
    <n v="102.33"/>
    <n v="239.08"/>
    <n v="351.41"/>
    <n v="19.286000000000001"/>
    <n v="18.405999999999999"/>
    <n v="2.6160000000000001"/>
    <n v="341.26"/>
    <n v="340.1"/>
    <n v="341.12"/>
    <n v="177.98"/>
    <n v="1"/>
    <x v="11"/>
  </r>
  <r>
    <x v="52"/>
    <n v="535.65"/>
    <n v="496"/>
    <n v="101.71"/>
    <n v="248.14"/>
    <n v="362.29"/>
    <n v="19.138999999999999"/>
    <n v="18.207999999999998"/>
    <n v="2.6720000000000002"/>
    <n v="344.81"/>
    <n v="348.59"/>
    <n v="345.26"/>
    <n v="156.38999999999999"/>
    <n v="1"/>
    <x v="11"/>
  </r>
  <r>
    <x v="53"/>
    <n v="540.73"/>
    <n v="508.94"/>
    <n v="105.35"/>
    <n v="268.39999999999998"/>
    <n v="355.41"/>
    <n v="19.454999999999998"/>
    <n v="17.815000000000001"/>
    <n v="2.7120000000000002"/>
    <n v="360.76"/>
    <n v="343.22"/>
    <n v="358.65"/>
    <n v="148.07"/>
    <n v="1"/>
    <x v="12"/>
  </r>
  <r>
    <x v="54"/>
    <n v="554.04"/>
    <n v="494.03"/>
    <n v="109.51"/>
    <n v="249.96"/>
    <n v="358.49"/>
    <n v="19.515999999999998"/>
    <n v="18.791"/>
    <n v="2.7989999999999999"/>
    <n v="358.19"/>
    <n v="345.62"/>
    <n v="356.68"/>
    <n v="163.36000000000001"/>
    <n v="1"/>
    <x v="12"/>
  </r>
  <r>
    <x v="55"/>
    <n v="546.38"/>
    <n v="499.41"/>
    <n v="109.73"/>
    <n v="267.67"/>
    <n v="366.89"/>
    <n v="19.611000000000001"/>
    <n v="18.152999999999999"/>
    <n v="2.7040000000000002"/>
    <n v="367.41"/>
    <n v="352.18"/>
    <n v="365.58"/>
    <n v="146.80000000000001"/>
    <n v="1"/>
    <x v="12"/>
  </r>
  <r>
    <x v="56"/>
    <n v="568.27"/>
    <n v="503.04"/>
    <n v="102.17"/>
    <n v="260.41000000000003"/>
    <n v="368.92"/>
    <n v="19.596"/>
    <n v="18.315000000000001"/>
    <n v="2.7719999999999998"/>
    <n v="351.68"/>
    <n v="353.76"/>
    <n v="351.93"/>
    <n v="182.34"/>
    <n v="1"/>
    <x v="12"/>
  </r>
  <r>
    <x v="57"/>
    <n v="566.5"/>
    <n v="512.47"/>
    <n v="112.11"/>
    <n v="269.2"/>
    <n v="359.43"/>
    <n v="19.954000000000001"/>
    <n v="18.917000000000002"/>
    <n v="2.8650000000000002"/>
    <n v="371.98"/>
    <n v="346.35"/>
    <n v="368.9"/>
    <n v="163.6"/>
    <n v="1"/>
    <x v="13"/>
  </r>
  <r>
    <x v="58"/>
    <n v="558.59"/>
    <n v="501.28"/>
    <n v="109.95"/>
    <n v="252.29"/>
    <n v="370.23"/>
    <n v="19.719000000000001"/>
    <n v="18.625"/>
    <n v="2.8650000000000002"/>
    <n v="360.06"/>
    <n v="354.78"/>
    <n v="359.43"/>
    <n v="165.16"/>
    <n v="1"/>
    <x v="13"/>
  </r>
  <r>
    <x v="59"/>
    <n v="546"/>
    <n v="515.51"/>
    <n v="110.96"/>
    <n v="250.07"/>
    <n v="365.19"/>
    <n v="19.797999999999998"/>
    <n v="19.187000000000001"/>
    <n v="2.83"/>
    <n v="360.58"/>
    <n v="350.85"/>
    <n v="359.41"/>
    <n v="152.59"/>
    <n v="1"/>
    <x v="13"/>
  </r>
  <r>
    <x v="60"/>
    <n v="560.02"/>
    <n v="513.12"/>
    <n v="107.24"/>
    <n v="256.70999999999998"/>
    <n v="372.04"/>
    <n v="20.161999999999999"/>
    <n v="18.64"/>
    <n v="2.931"/>
    <n v="357.93"/>
    <n v="356.19"/>
    <n v="357.73"/>
    <n v="168.3"/>
    <n v="1"/>
    <x v="13"/>
  </r>
  <r>
    <x v="61"/>
    <n v="559.63"/>
    <n v="518.85"/>
    <n v="114.55"/>
    <n v="246.2"/>
    <n v="382.96"/>
    <n v="20.007000000000001"/>
    <n v="19.010000000000002"/>
    <n v="2.8109999999999999"/>
    <n v="364.38"/>
    <n v="364.71"/>
    <n v="364.42"/>
    <n v="161.22"/>
    <n v="1"/>
    <x v="14"/>
  </r>
  <r>
    <x v="62"/>
    <n v="560.33000000000004"/>
    <n v="512.9"/>
    <n v="114.58"/>
    <n v="250.97"/>
    <n v="371.21"/>
    <n v="20.151"/>
    <n v="18.896000000000001"/>
    <n v="2.9249999999999998"/>
    <n v="366.81"/>
    <n v="355.54"/>
    <n v="365.45"/>
    <n v="160.88"/>
    <n v="1"/>
    <x v="14"/>
  </r>
  <r>
    <x v="63"/>
    <n v="555.19000000000005"/>
    <n v="517.58000000000004"/>
    <n v="115.27"/>
    <n v="246.76"/>
    <n v="374.99"/>
    <n v="20.212"/>
    <n v="19.007999999999999"/>
    <n v="2.9169999999999998"/>
    <n v="365.81"/>
    <n v="358.49"/>
    <n v="364.94"/>
    <n v="156.26"/>
    <n v="1"/>
    <x v="14"/>
  </r>
  <r>
    <x v="64"/>
    <n v="559.17999999999995"/>
    <n v="528.74"/>
    <n v="118.24"/>
    <n v="239.73"/>
    <n v="376.71"/>
    <n v="20.193000000000001"/>
    <n v="18.401"/>
    <n v="2.95"/>
    <n v="367.05"/>
    <n v="359.83"/>
    <n v="366.18"/>
    <n v="159"/>
    <n v="1"/>
    <x v="14"/>
  </r>
  <r>
    <x v="65"/>
    <n v="574.01"/>
    <n v="520.70000000000005"/>
    <n v="116.94"/>
    <n v="245.05"/>
    <n v="377.83"/>
    <n v="20.16"/>
    <n v="18.637"/>
    <n v="3.0059999999999998"/>
    <n v="367.62"/>
    <n v="360.71"/>
    <n v="366.79"/>
    <n v="173.21"/>
    <n v="1"/>
    <x v="14"/>
  </r>
  <r>
    <x v="66"/>
    <n v="564.52"/>
    <n v="530.49"/>
    <n v="112.6"/>
    <n v="241.48"/>
    <n v="375.89"/>
    <n v="19.728999999999999"/>
    <n v="18.678000000000001"/>
    <n v="2.9329999999999998"/>
    <n v="358.9"/>
    <n v="359.2"/>
    <n v="358.94"/>
    <n v="171.58"/>
    <n v="1"/>
    <x v="15"/>
  </r>
  <r>
    <x v="67"/>
    <n v="561.04"/>
    <n v="523.28"/>
    <n v="110.39"/>
    <n v="234.47"/>
    <n v="373.28"/>
    <n v="19.524000000000001"/>
    <n v="19.001000000000001"/>
    <n v="3.028"/>
    <n v="351.86"/>
    <n v="357.16"/>
    <n v="352.5"/>
    <n v="174.54"/>
    <n v="1"/>
    <x v="15"/>
  </r>
  <r>
    <x v="68"/>
    <n v="558.86"/>
    <n v="526.39"/>
    <n v="112.14"/>
    <n v="223.72"/>
    <n v="362.37"/>
    <n v="19.795999999999999"/>
    <n v="19.062999999999999"/>
    <n v="3.0409999999999999"/>
    <n v="349.28"/>
    <n v="348.65"/>
    <n v="349.2"/>
    <n v="175.66"/>
    <n v="1"/>
    <x v="15"/>
  </r>
  <r>
    <x v="69"/>
    <n v="563"/>
    <n v="522.70000000000005"/>
    <n v="112.15"/>
    <n v="234.04"/>
    <n v="366.41"/>
    <n v="20.09"/>
    <n v="18.837"/>
    <n v="2.9159999999999999"/>
    <n v="354.46"/>
    <n v="351.8"/>
    <n v="354.14"/>
    <n v="174.86"/>
    <n v="1"/>
    <x v="15"/>
  </r>
  <r>
    <x v="70"/>
    <n v="563.16"/>
    <n v="525.85"/>
    <n v="110.08"/>
    <n v="219.91"/>
    <n v="375.01"/>
    <n v="20.084"/>
    <n v="19.006"/>
    <n v="3.0169999999999999"/>
    <n v="344.09"/>
    <n v="358.51"/>
    <n v="345.82"/>
    <n v="183.35"/>
    <n v="1"/>
    <x v="16"/>
  </r>
  <r>
    <x v="71"/>
    <n v="537.57000000000005"/>
    <n v="531.59"/>
    <n v="115.55"/>
    <n v="216.64"/>
    <n v="375.16"/>
    <n v="19.789000000000001"/>
    <n v="18.513999999999999"/>
    <n v="2.9990000000000001"/>
    <n v="351.21"/>
    <n v="358.63"/>
    <n v="352.1"/>
    <n v="151.47999999999999"/>
    <n v="1"/>
    <x v="16"/>
  </r>
  <r>
    <x v="72"/>
    <n v="554.70000000000005"/>
    <n v="543.04999999999995"/>
    <n v="109"/>
    <n v="222.47"/>
    <n v="363.56"/>
    <n v="19.885000000000002"/>
    <n v="18.757999999999999"/>
    <n v="3.0670000000000002"/>
    <n v="343.64"/>
    <n v="349.57"/>
    <n v="344.35"/>
    <n v="176.35"/>
    <n v="1"/>
    <x v="16"/>
  </r>
  <r>
    <x v="73"/>
    <n v="558.94000000000005"/>
    <n v="521.15"/>
    <n v="110.2"/>
    <n v="208.86"/>
    <n v="365.67"/>
    <n v="19.777000000000001"/>
    <n v="18.738"/>
    <n v="3.0259999999999998"/>
    <n v="338.75"/>
    <n v="351.23"/>
    <n v="340.25"/>
    <n v="184.69"/>
    <n v="1"/>
    <x v="16"/>
  </r>
  <r>
    <x v="74"/>
    <n v="540.22"/>
    <n v="520.36"/>
    <n v="104.11"/>
    <n v="215.95"/>
    <n v="363.87"/>
    <n v="19.335999999999999"/>
    <n v="19.161000000000001"/>
    <n v="2.9380000000000002"/>
    <n v="332.55"/>
    <n v="349.82"/>
    <n v="334.63"/>
    <n v="171.59"/>
    <n v="1"/>
    <x v="17"/>
  </r>
  <r>
    <x v="75"/>
    <n v="546.03"/>
    <n v="512.30999999999995"/>
    <n v="105.18"/>
    <n v="199.08"/>
    <n v="356.95"/>
    <n v="19.428999999999998"/>
    <n v="18.175000000000001"/>
    <n v="2.9649999999999999"/>
    <n v="325.82"/>
    <n v="344.42"/>
    <n v="328.05"/>
    <n v="183.97"/>
    <n v="1"/>
    <x v="17"/>
  </r>
  <r>
    <x v="76"/>
    <n v="540.15"/>
    <n v="521.73"/>
    <n v="101.73"/>
    <n v="196.26"/>
    <n v="362.61"/>
    <n v="19.239000000000001"/>
    <n v="18.419"/>
    <n v="2.9820000000000002"/>
    <n v="318.89"/>
    <n v="348.83"/>
    <n v="322.48"/>
    <n v="183.67"/>
    <n v="1"/>
    <x v="17"/>
  </r>
  <r>
    <x v="77"/>
    <n v="529.38"/>
    <n v="499.56"/>
    <n v="100.54"/>
    <n v="195.55"/>
    <n v="355.5"/>
    <n v="18.925999999999998"/>
    <n v="18.481000000000002"/>
    <n v="3.016"/>
    <n v="316.64"/>
    <n v="343.29"/>
    <n v="319.83999999999997"/>
    <n v="175.55"/>
    <n v="1"/>
    <x v="17"/>
  </r>
  <r>
    <x v="78"/>
    <n v="535.83000000000004"/>
    <n v="498.24"/>
    <n v="105.41"/>
    <n v="186.11"/>
    <n v="349.56"/>
    <n v="18.984000000000002"/>
    <n v="17.920999999999999"/>
    <n v="3.0819999999999999"/>
    <n v="319.70999999999998"/>
    <n v="338.65"/>
    <n v="321.99"/>
    <n v="179.84"/>
    <n v="1"/>
    <x v="17"/>
  </r>
  <r>
    <x v="79"/>
    <n v="539.4"/>
    <n v="504.53"/>
    <n v="99.81"/>
    <n v="188.25"/>
    <n v="357.97"/>
    <n v="18.962"/>
    <n v="17.946999999999999"/>
    <n v="2.9540000000000002"/>
    <n v="311.83"/>
    <n v="345.21"/>
    <n v="315.83"/>
    <n v="189.57"/>
    <n v="1"/>
    <x v="18"/>
  </r>
  <r>
    <x v="80"/>
    <n v="525.57000000000005"/>
    <n v="504.16"/>
    <n v="99.2"/>
    <n v="179.05"/>
    <n v="353.75"/>
    <n v="18.565999999999999"/>
    <n v="17.838999999999999"/>
    <n v="2.9390000000000001"/>
    <n v="306.24"/>
    <n v="341.92"/>
    <n v="310.52999999999997"/>
    <n v="181.05"/>
    <n v="1"/>
    <x v="18"/>
  </r>
  <r>
    <x v="81"/>
    <n v="533.58000000000004"/>
    <n v="505.32"/>
    <n v="94.79"/>
    <n v="182.81"/>
    <n v="345.34"/>
    <n v="18.84"/>
    <n v="17.623999999999999"/>
    <n v="2.9710000000000001"/>
    <n v="301.06"/>
    <n v="335.37"/>
    <n v="305.18"/>
    <n v="194.4"/>
    <n v="1"/>
    <x v="18"/>
  </r>
  <r>
    <x v="82"/>
    <n v="536.35"/>
    <n v="499.19"/>
    <n v="93.38"/>
    <n v="195.45"/>
    <n v="342.37"/>
    <n v="18.719000000000001"/>
    <n v="17.602"/>
    <n v="2.96"/>
    <n v="305.14"/>
    <n v="333.05"/>
    <n v="308.49"/>
    <n v="193.86"/>
    <n v="1"/>
    <x v="18"/>
  </r>
  <r>
    <x v="83"/>
    <n v="519.92999999999995"/>
    <n v="488.74"/>
    <n v="96.63"/>
    <n v="174.96"/>
    <n v="339.12"/>
    <n v="18.260999999999999"/>
    <n v="17.100999999999999"/>
    <n v="3.0009999999999999"/>
    <n v="300.08999999999997"/>
    <n v="330.51"/>
    <n v="303.74"/>
    <n v="182.19"/>
    <n v="1"/>
    <x v="19"/>
  </r>
  <r>
    <x v="84"/>
    <n v="528.96"/>
    <n v="491.44"/>
    <n v="97.98"/>
    <n v="172.25"/>
    <n v="344.54"/>
    <n v="18.707000000000001"/>
    <n v="17.835999999999999"/>
    <n v="3.0030000000000001"/>
    <n v="300.89999999999998"/>
    <n v="334.74"/>
    <n v="304.95999999999998"/>
    <n v="190"/>
    <n v="1"/>
    <x v="19"/>
  </r>
  <r>
    <x v="85"/>
    <n v="517.49"/>
    <n v="481.31"/>
    <n v="89.95"/>
    <n v="185.29"/>
    <n v="340.44"/>
    <n v="18.184999999999999"/>
    <n v="17.236999999999998"/>
    <n v="3.044"/>
    <n v="294.57"/>
    <n v="331.54"/>
    <n v="299.01"/>
    <n v="184.49"/>
    <n v="1"/>
    <x v="19"/>
  </r>
  <r>
    <x v="86"/>
    <n v="522.97"/>
    <n v="478.89"/>
    <n v="91.05"/>
    <n v="183.39"/>
    <n v="320.91000000000003"/>
    <n v="18.734000000000002"/>
    <n v="17.292000000000002"/>
    <n v="2.984"/>
    <n v="295.37"/>
    <n v="316.31"/>
    <n v="297.88"/>
    <n v="191.09"/>
    <n v="1"/>
    <x v="19"/>
  </r>
  <r>
    <x v="87"/>
    <n v="510.69"/>
    <n v="484.21"/>
    <n v="88.51"/>
    <n v="182.29"/>
    <n v="338.29"/>
    <n v="18.457999999999998"/>
    <n v="17.518000000000001"/>
    <n v="2.9870000000000001"/>
    <n v="290.76"/>
    <n v="329.87"/>
    <n v="295.45"/>
    <n v="181.24"/>
    <n v="1"/>
    <x v="20"/>
  </r>
  <r>
    <x v="88"/>
    <n v="521.22"/>
    <n v="481.53"/>
    <n v="87.18"/>
    <n v="181.7"/>
    <n v="331.63"/>
    <n v="17.567"/>
    <n v="17.106000000000002"/>
    <n v="3.0089999999999999"/>
    <n v="288.33999999999997"/>
    <n v="324.67"/>
    <n v="292.7"/>
    <n v="194.52"/>
    <n v="1"/>
    <x v="20"/>
  </r>
  <r>
    <x v="89"/>
    <n v="511.9"/>
    <n v="482.46"/>
    <n v="87.15"/>
    <n v="191.58"/>
    <n v="332.59"/>
    <n v="18.489999999999998"/>
    <n v="16.798999999999999"/>
    <n v="3.0470000000000002"/>
    <n v="293.23"/>
    <n v="325.42"/>
    <n v="297.08999999999997"/>
    <n v="180.81"/>
    <n v="1"/>
    <x v="20"/>
  </r>
  <r>
    <x v="90"/>
    <n v="502.98"/>
    <n v="471.4"/>
    <n v="85.22"/>
    <n v="195.81"/>
    <n v="319.60000000000002"/>
    <n v="18.015000000000001"/>
    <n v="17.170000000000002"/>
    <n v="3.089"/>
    <n v="292.25"/>
    <n v="315.29000000000002"/>
    <n v="295.02"/>
    <n v="173.96"/>
    <n v="1"/>
    <x v="20"/>
  </r>
  <r>
    <x v="91"/>
    <n v="512.89"/>
    <n v="460.23"/>
    <n v="87.12"/>
    <n v="190.86"/>
    <n v="324.26"/>
    <n v="17.885999999999999"/>
    <n v="17.077000000000002"/>
    <n v="2.9990000000000001"/>
    <n v="292.82"/>
    <n v="318.93"/>
    <n v="295.95999999999998"/>
    <n v="182.93"/>
    <n v="1"/>
    <x v="20"/>
  </r>
  <r>
    <x v="92"/>
    <n v="529.11"/>
    <n v="465.55"/>
    <n v="82.85"/>
    <n v="207.63"/>
    <n v="340.57"/>
    <n v="17.422000000000001"/>
    <n v="17.170999999999999"/>
    <n v="2.988"/>
    <n v="294.38"/>
    <n v="331.65"/>
    <n v="298.85000000000002"/>
    <n v="196.26"/>
    <n v="1"/>
    <x v="21"/>
  </r>
  <r>
    <x v="93"/>
    <n v="514.29"/>
    <n v="455.8"/>
    <n v="81.88"/>
    <n v="209.69"/>
    <n v="332.68"/>
    <n v="17.831"/>
    <n v="17.219000000000001"/>
    <n v="3.03"/>
    <n v="293.86"/>
    <n v="325.49"/>
    <n v="297.64999999999998"/>
    <n v="182.64"/>
    <n v="1"/>
    <x v="21"/>
  </r>
  <r>
    <x v="94"/>
    <n v="508.01"/>
    <n v="464.88"/>
    <n v="85.62"/>
    <n v="196.94"/>
    <n v="344.63"/>
    <n v="18.376000000000001"/>
    <n v="16.818999999999999"/>
    <n v="3.1549999999999998"/>
    <n v="293.47000000000003"/>
    <n v="334.81"/>
    <n v="298.43"/>
    <n v="175.59"/>
    <n v="1"/>
    <x v="21"/>
  </r>
  <r>
    <x v="95"/>
    <n v="512.27"/>
    <n v="472.59"/>
    <n v="85.52"/>
    <n v="223.09"/>
    <n v="334"/>
    <n v="18.343"/>
    <n v="17.582999999999998"/>
    <n v="3.1309999999999998"/>
    <n v="306.37"/>
    <n v="326.52"/>
    <n v="308.79000000000002"/>
    <n v="169.48"/>
    <n v="1"/>
    <x v="21"/>
  </r>
  <r>
    <x v="96"/>
    <n v="520.33000000000004"/>
    <n v="462.45"/>
    <n v="89.91"/>
    <n v="213.2"/>
    <n v="343.83"/>
    <n v="18.192"/>
    <n v="17.117000000000001"/>
    <n v="3.0209999999999999"/>
    <n v="308.45"/>
    <n v="334.19"/>
    <n v="311.52999999999997"/>
    <n v="174.8"/>
    <n v="1"/>
    <x v="22"/>
  </r>
  <r>
    <x v="97"/>
    <n v="516.24"/>
    <n v="450.31"/>
    <n v="85.1"/>
    <n v="234.44"/>
    <n v="340.22"/>
    <n v="18.033999999999999"/>
    <n v="17.114999999999998"/>
    <n v="3.1040000000000001"/>
    <n v="311.39"/>
    <n v="331.37"/>
    <n v="313.79000000000002"/>
    <n v="168.45"/>
    <n v="1"/>
    <x v="22"/>
  </r>
  <r>
    <x v="98"/>
    <n v="519.27"/>
    <n v="440.35"/>
    <n v="87.44"/>
    <n v="229.42"/>
    <n v="333.6"/>
    <n v="17.939"/>
    <n v="17.254000000000001"/>
    <n v="3.1269999999999998"/>
    <n v="312.62"/>
    <n v="326.2"/>
    <n v="314.25"/>
    <n v="171.03"/>
    <n v="1"/>
    <x v="22"/>
  </r>
  <r>
    <x v="99"/>
    <n v="523"/>
    <n v="463.7"/>
    <n v="93.17"/>
    <n v="235.64"/>
    <n v="339.93"/>
    <n v="18.652999999999999"/>
    <n v="17.602"/>
    <n v="3.0539999999999998"/>
    <n v="324.89999999999998"/>
    <n v="331.14"/>
    <n v="325.64999999999998"/>
    <n v="163.36000000000001"/>
    <n v="1"/>
    <x v="22"/>
  </r>
  <r>
    <x v="100"/>
    <n v="518.97"/>
    <n v="471.35"/>
    <n v="92.89"/>
    <n v="236.39"/>
    <n v="343.21"/>
    <n v="18.852"/>
    <n v="17.266999999999999"/>
    <n v="3.149"/>
    <n v="324.83"/>
    <n v="333.7"/>
    <n v="325.89"/>
    <n v="159.08000000000001"/>
    <n v="1"/>
    <x v="23"/>
  </r>
  <r>
    <x v="101"/>
    <n v="529.63"/>
    <n v="473.91"/>
    <n v="89.53"/>
    <n v="232.74"/>
    <n v="332.22"/>
    <n v="18.866"/>
    <n v="17.533999999999999"/>
    <n v="3.2050000000000001"/>
    <n v="317.61"/>
    <n v="325.13"/>
    <n v="318.52"/>
    <n v="177.11"/>
    <n v="1"/>
    <x v="23"/>
  </r>
  <r>
    <x v="102"/>
    <n v="528.75"/>
    <n v="484.29"/>
    <n v="89.02"/>
    <n v="229.24"/>
    <n v="339"/>
    <n v="18.384"/>
    <n v="17.722000000000001"/>
    <n v="3.2210000000000001"/>
    <n v="315.05"/>
    <n v="330.42"/>
    <n v="316.89"/>
    <n v="177.86"/>
    <n v="1"/>
    <x v="23"/>
  </r>
  <r>
    <x v="103"/>
    <n v="532.79"/>
    <n v="475.74"/>
    <n v="95.23"/>
    <n v="242.26"/>
    <n v="351.57"/>
    <n v="18.811"/>
    <n v="17.829999999999998"/>
    <n v="3.234"/>
    <n v="331.49"/>
    <n v="340.22"/>
    <n v="332.54"/>
    <n v="166.25"/>
    <n v="1"/>
    <x v="2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BCE895-2E22-BC4F-945B-46EB465E55E4}" name="PivotTable2" cacheId="128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7" rowHeaderCaption="Month">
  <location ref="A3:D27" firstHeaderRow="0" firstDataRow="1" firstDataCol="1"/>
  <pivotFields count="15">
    <pivotField showAll="0">
      <items count="10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  <pivotField showAll="0"/>
    <pivotField axis="axisRow" showAll="0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</pivotFields>
  <rowFields count="1">
    <field x="14"/>
  </rowFields>
  <rowItems count="2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</rowItems>
  <colFields count="1">
    <field x="-2"/>
  </colFields>
  <colItems count="3">
    <i>
      <x/>
    </i>
    <i i="1">
      <x v="1"/>
    </i>
    <i i="2">
      <x v="2"/>
    </i>
  </colItems>
  <dataFields count="3">
    <dataField name="Avg HRC ($/t)" fld="1" subtotal="average" baseField="0" baseItem="0" numFmtId="170"/>
    <dataField name="Avg Blended Cost ($/t)" fld="11" subtotal="average" baseField="0" baseItem="0" numFmtId="170"/>
    <dataField name="Avg HRC Margin ($/t)" fld="12" subtotal="average" baseField="0" baseItem="0" numFmtId="170"/>
  </dataFields>
  <chartFormats count="3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1F5F535-13B3-F64B-BE83-4BF833131FEF}" name="Table2" displayName="Table2" ref="A3:O8" totalsRowShown="0">
  <autoFilter ref="A3:O8" xr:uid="{51F5F535-13B3-F64B-BE83-4BF833131FEF}"/>
  <tableColumns count="15">
    <tableColumn id="1" xr3:uid="{465DF4EA-AFC5-5F4C-9C58-53D70C719408}" name="week_start" dataDxfId="0"/>
    <tableColumn id="2" xr3:uid="{97772401-14BD-EF43-A0B1-1EF71422C8D3}" name="hrc_usd_t"/>
    <tableColumn id="3" xr3:uid="{64CC7B6A-4566-614E-BB70-87DD6582C836}" name="rebar_usd_t"/>
    <tableColumn id="4" xr3:uid="{26BB5F03-914F-E242-BCCF-857D4A3358B3}" name="iron_ore_usd_t"/>
    <tableColumn id="5" xr3:uid="{6208879C-78E8-3144-8875-4BBD23FEEAC7}" name="coking_coal_usd_t"/>
    <tableColumn id="6" xr3:uid="{CE0B5946-45F4-C340-882B-F797CA835DF2}" name="scrap_usd_t"/>
    <tableColumn id="7" xr3:uid="{966BF4BC-0CA2-7448-BAAF-C8FEAF4F6AC8}" name="crude_steel_output_mt"/>
    <tableColumn id="8" xr3:uid="{90913B06-94F6-DD49-B15D-0463B6127D6E}" name="apparent_demand_mt"/>
    <tableColumn id="9" xr3:uid="{7DF19EB6-93CB-5645-9DB8-4F4971BB39A0}" name="exports_mt"/>
    <tableColumn id="10" xr3:uid="{4898088E-E509-7143-8B24-7174BBB549AA}" name="bf_bof_cost_usd_t"/>
    <tableColumn id="11" xr3:uid="{2CFD5591-8B38-4940-ACEB-DB588D375E50}" name="eaf_cost_usd_t"/>
    <tableColumn id="12" xr3:uid="{A15DB371-B6A4-4E42-AC0A-A3D5BFA22C27}" name="blended_cost_usd_t"/>
    <tableColumn id="13" xr3:uid="{5F28D8AA-5443-1E48-8945-E12E42EFC0D4}" name="hrc_margin_usd_t"/>
    <tableColumn id="14" xr3:uid="{7788EAA0-BB92-FB4F-A7F6-5E77E8D8E5EE}" name="is_synthetic"/>
    <tableColumn id="15" xr3:uid="{D63C7AE4-EFEA-A047-B70A-B7475AD12F5D}" name="month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WeeklyMarketTable" displayName="WeeklyMarketTable" ref="A1:O105" totalsRowShown="0">
  <tableColumns count="15">
    <tableColumn id="1" xr3:uid="{00000000-0010-0000-0000-000001000000}" name="week_start"/>
    <tableColumn id="2" xr3:uid="{00000000-0010-0000-0000-000002000000}" name="hrc_usd_t"/>
    <tableColumn id="3" xr3:uid="{00000000-0010-0000-0000-000003000000}" name="rebar_usd_t"/>
    <tableColumn id="4" xr3:uid="{00000000-0010-0000-0000-000004000000}" name="iron_ore_usd_t"/>
    <tableColumn id="5" xr3:uid="{00000000-0010-0000-0000-000005000000}" name="coking_coal_usd_t"/>
    <tableColumn id="6" xr3:uid="{00000000-0010-0000-0000-000006000000}" name="scrap_usd_t"/>
    <tableColumn id="7" xr3:uid="{00000000-0010-0000-0000-000007000000}" name="crude_steel_output_mt"/>
    <tableColumn id="8" xr3:uid="{00000000-0010-0000-0000-000008000000}" name="apparent_demand_mt"/>
    <tableColumn id="9" xr3:uid="{00000000-0010-0000-0000-000009000000}" name="exports_mt"/>
    <tableColumn id="10" xr3:uid="{00000000-0010-0000-0000-00000A000000}" name="bf_bof_cost_usd_t"/>
    <tableColumn id="11" xr3:uid="{00000000-0010-0000-0000-00000B000000}" name="eaf_cost_usd_t"/>
    <tableColumn id="12" xr3:uid="{00000000-0010-0000-0000-00000C000000}" name="blended_cost_usd_t"/>
    <tableColumn id="13" xr3:uid="{00000000-0010-0000-0000-00000D000000}" name="hrc_margin_usd_t"/>
    <tableColumn id="14" xr3:uid="{00000000-0010-0000-0000-00000E000000}" name="is_synthetic"/>
    <tableColumn id="15" xr3:uid="{D211763F-9B05-F34F-84F2-C85AD0AAF113}" name="month" dataDxfId="1">
      <calculatedColumnFormula>TEXT(A2,"yyyy-mm")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6"/>
  <sheetViews>
    <sheetView topLeftCell="A25" workbookViewId="0">
      <selection sqref="A1:H1"/>
    </sheetView>
  </sheetViews>
  <sheetFormatPr baseColWidth="10" defaultColWidth="8.83203125" defaultRowHeight="14"/>
  <cols>
    <col min="1" max="1" width="47.1640625" customWidth="1"/>
    <col min="2" max="2" width="8.33203125" customWidth="1"/>
    <col min="3" max="3" width="10.83203125" customWidth="1"/>
    <col min="4" max="4" width="148.83203125" customWidth="1"/>
  </cols>
  <sheetData>
    <row r="1" spans="1:8" ht="32" customHeight="1">
      <c r="A1" s="17" t="s">
        <v>0</v>
      </c>
      <c r="B1" s="17"/>
      <c r="C1" s="17"/>
      <c r="D1" s="17"/>
      <c r="E1" s="17"/>
      <c r="F1" s="17"/>
      <c r="G1" s="17"/>
      <c r="H1" s="17"/>
    </row>
    <row r="2" spans="1:8" ht="20" customHeight="1">
      <c r="A2" s="18" t="s">
        <v>1</v>
      </c>
      <c r="B2" s="18"/>
      <c r="C2" s="18"/>
      <c r="D2" s="18"/>
      <c r="E2" s="18"/>
      <c r="F2" s="18"/>
      <c r="G2" s="18"/>
      <c r="H2" s="18"/>
    </row>
    <row r="4" spans="1:8" ht="20" customHeight="1">
      <c r="A4" s="1" t="s">
        <v>2</v>
      </c>
      <c r="B4" s="2" t="s">
        <v>3</v>
      </c>
      <c r="D4" s="19" t="s">
        <v>4</v>
      </c>
      <c r="E4" s="19"/>
      <c r="F4" s="19"/>
      <c r="G4" s="19"/>
      <c r="H4" s="19"/>
    </row>
    <row r="5" spans="1:8" ht="20" customHeight="1">
      <c r="A5" t="s">
        <v>5</v>
      </c>
      <c r="B5" s="3">
        <f>'Weekly Market'!B105</f>
        <v>532.79</v>
      </c>
      <c r="D5" s="19"/>
      <c r="E5" s="19"/>
      <c r="F5" s="19"/>
      <c r="G5" s="19"/>
      <c r="H5" s="19"/>
    </row>
    <row r="6" spans="1:8" ht="20" customHeight="1">
      <c r="A6" t="s">
        <v>6</v>
      </c>
      <c r="B6" s="3">
        <f>'Weekly Market'!L105</f>
        <v>332.54</v>
      </c>
      <c r="D6" s="19"/>
      <c r="E6" s="19"/>
      <c r="F6" s="19"/>
      <c r="G6" s="19"/>
      <c r="H6" s="19"/>
    </row>
    <row r="7" spans="1:8" ht="20" customHeight="1">
      <c r="A7" t="s">
        <v>7</v>
      </c>
      <c r="B7" s="3">
        <f>'Weekly Market'!M105</f>
        <v>166.25</v>
      </c>
      <c r="D7" s="19"/>
      <c r="E7" s="19"/>
      <c r="F7" s="19"/>
      <c r="G7" s="19"/>
      <c r="H7" s="19"/>
    </row>
    <row r="8" spans="1:8" ht="20" customHeight="1">
      <c r="A8" t="s">
        <v>8</v>
      </c>
      <c r="B8" s="3" t="e">
        <f>INDEX('Scenario Model'!C5:C22,MATCH(1,('Scenario Model'!A5:A22="Base")*('Scenario Model'!B5:B22=2030),0))</f>
        <v>#N/A</v>
      </c>
      <c r="D8" s="19"/>
      <c r="E8" s="19"/>
      <c r="F8" s="19"/>
      <c r="G8" s="19"/>
      <c r="H8" s="19"/>
    </row>
    <row r="12" spans="1:8" ht="20" customHeight="1">
      <c r="A12" s="1" t="s">
        <v>9</v>
      </c>
      <c r="B12" s="4" t="s">
        <v>10</v>
      </c>
      <c r="C12" s="2" t="s">
        <v>11</v>
      </c>
    </row>
    <row r="13" spans="1:8" ht="20" customHeight="1">
      <c r="A13" t="s">
        <v>12</v>
      </c>
      <c r="B13" s="5">
        <v>566.16999999999996</v>
      </c>
      <c r="C13" s="5">
        <v>367.51</v>
      </c>
    </row>
    <row r="14" spans="1:8" ht="20" customHeight="1">
      <c r="A14" t="s">
        <v>13</v>
      </c>
      <c r="B14" s="5">
        <v>565.47</v>
      </c>
      <c r="C14" s="5">
        <v>373.52</v>
      </c>
    </row>
    <row r="15" spans="1:8" ht="20" customHeight="1">
      <c r="A15" t="s">
        <v>14</v>
      </c>
      <c r="B15" s="5">
        <v>570.05999999999995</v>
      </c>
      <c r="C15" s="5">
        <v>385.91</v>
      </c>
    </row>
    <row r="16" spans="1:8" ht="20" customHeight="1">
      <c r="A16" t="s">
        <v>15</v>
      </c>
      <c r="B16" s="5">
        <v>576.49</v>
      </c>
      <c r="C16" s="5">
        <v>364.37</v>
      </c>
    </row>
    <row r="17" spans="1:3" ht="20" customHeight="1">
      <c r="A17" t="s">
        <v>16</v>
      </c>
      <c r="B17" s="5">
        <v>567.84</v>
      </c>
      <c r="C17" s="5">
        <v>354.08</v>
      </c>
    </row>
    <row r="18" spans="1:3" ht="20" customHeight="1">
      <c r="A18" t="s">
        <v>17</v>
      </c>
      <c r="B18" s="5">
        <v>552.23</v>
      </c>
      <c r="C18" s="5">
        <v>342.6</v>
      </c>
    </row>
    <row r="19" spans="1:3" ht="20" customHeight="1">
      <c r="A19" t="s">
        <v>18</v>
      </c>
      <c r="B19" s="5">
        <v>543.71</v>
      </c>
      <c r="C19" s="5">
        <v>323.95</v>
      </c>
    </row>
    <row r="20" spans="1:3" ht="20" customHeight="1">
      <c r="A20" t="s">
        <v>19</v>
      </c>
      <c r="B20" s="5">
        <v>536.22</v>
      </c>
      <c r="C20" s="5">
        <v>309.35000000000002</v>
      </c>
    </row>
    <row r="21" spans="1:3" ht="20" customHeight="1">
      <c r="A21" t="s">
        <v>20</v>
      </c>
      <c r="B21" s="5">
        <v>526.04999999999995</v>
      </c>
      <c r="C21" s="5">
        <v>310.27999999999997</v>
      </c>
    </row>
    <row r="22" spans="1:3" ht="20" customHeight="1">
      <c r="A22" t="s">
        <v>21</v>
      </c>
      <c r="B22" s="5">
        <v>522.75</v>
      </c>
      <c r="C22" s="5">
        <v>315.25</v>
      </c>
    </row>
    <row r="23" spans="1:3" ht="20" customHeight="1">
      <c r="A23" t="s">
        <v>22</v>
      </c>
      <c r="B23" s="5">
        <v>522.08000000000004</v>
      </c>
      <c r="C23" s="5">
        <v>328.09</v>
      </c>
    </row>
    <row r="24" spans="1:3" ht="20" customHeight="1">
      <c r="A24" t="s">
        <v>23</v>
      </c>
      <c r="B24" s="5">
        <v>530.96</v>
      </c>
      <c r="C24" s="5">
        <v>343.11</v>
      </c>
    </row>
    <row r="25" spans="1:3" ht="20" customHeight="1">
      <c r="A25" t="s">
        <v>24</v>
      </c>
      <c r="B25" s="5">
        <v>552.36</v>
      </c>
      <c r="C25" s="5">
        <v>358.21</v>
      </c>
    </row>
    <row r="26" spans="1:3" ht="20" customHeight="1">
      <c r="A26" t="s">
        <v>25</v>
      </c>
      <c r="B26" s="5">
        <v>557.78</v>
      </c>
      <c r="C26" s="5">
        <v>361.37</v>
      </c>
    </row>
    <row r="27" spans="1:3" ht="20" customHeight="1">
      <c r="A27" t="s">
        <v>26</v>
      </c>
      <c r="B27" s="5">
        <v>561.66999999999996</v>
      </c>
      <c r="C27" s="5">
        <v>365.56</v>
      </c>
    </row>
    <row r="28" spans="1:3" ht="20" customHeight="1">
      <c r="A28" t="s">
        <v>27</v>
      </c>
      <c r="B28" s="5">
        <v>561.86</v>
      </c>
      <c r="C28" s="5">
        <v>353.69</v>
      </c>
    </row>
    <row r="29" spans="1:3">
      <c r="A29" t="s">
        <v>28</v>
      </c>
      <c r="B29" s="5">
        <v>553.59</v>
      </c>
      <c r="C29" s="5">
        <v>345.63</v>
      </c>
    </row>
    <row r="30" spans="1:3">
      <c r="A30" t="s">
        <v>29</v>
      </c>
      <c r="B30" s="5">
        <v>538.32000000000005</v>
      </c>
      <c r="C30" s="5">
        <v>325.39999999999998</v>
      </c>
    </row>
    <row r="31" spans="1:3">
      <c r="A31" t="s">
        <v>30</v>
      </c>
      <c r="B31" s="5">
        <v>533.73</v>
      </c>
      <c r="C31" s="5">
        <v>310.01</v>
      </c>
    </row>
    <row r="32" spans="1:3">
      <c r="A32" t="s">
        <v>31</v>
      </c>
      <c r="B32" s="5">
        <v>522.34</v>
      </c>
      <c r="C32" s="5">
        <v>301.39999999999998</v>
      </c>
    </row>
    <row r="33" spans="1:3">
      <c r="A33" t="s">
        <v>32</v>
      </c>
      <c r="B33" s="5">
        <v>511.94</v>
      </c>
      <c r="C33" s="5">
        <v>295.24</v>
      </c>
    </row>
    <row r="34" spans="1:3">
      <c r="A34" t="s">
        <v>33</v>
      </c>
      <c r="B34" s="5">
        <v>515.91999999999996</v>
      </c>
      <c r="C34" s="5">
        <v>300.93</v>
      </c>
    </row>
    <row r="35" spans="1:3">
      <c r="A35" t="s">
        <v>34</v>
      </c>
      <c r="B35" s="5">
        <v>519.71</v>
      </c>
      <c r="C35" s="5">
        <v>316.31</v>
      </c>
    </row>
    <row r="36" spans="1:3">
      <c r="A36" t="s">
        <v>35</v>
      </c>
      <c r="B36" s="5">
        <v>527.53</v>
      </c>
      <c r="C36" s="5">
        <v>323.45999999999998</v>
      </c>
    </row>
  </sheetData>
  <mergeCells count="3">
    <mergeCell ref="A1:H1"/>
    <mergeCell ref="A2:H2"/>
    <mergeCell ref="D4:H8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4"/>
  <sheetViews>
    <sheetView workbookViewId="0">
      <selection sqref="A1:H1"/>
    </sheetView>
  </sheetViews>
  <sheetFormatPr baseColWidth="10" defaultColWidth="8.83203125" defaultRowHeight="14"/>
  <cols>
    <col min="1" max="1" width="37.6640625" customWidth="1"/>
    <col min="2" max="2" width="37.5" customWidth="1"/>
    <col min="3" max="3" width="11.1640625" customWidth="1"/>
    <col min="4" max="4" width="11.83203125" customWidth="1"/>
    <col min="5" max="5" width="10.83203125" customWidth="1"/>
    <col min="6" max="6" width="12.6640625" customWidth="1"/>
    <col min="8" max="8" width="81.5" customWidth="1"/>
  </cols>
  <sheetData>
    <row r="1" spans="1:8" ht="32" customHeight="1">
      <c r="A1" s="17" t="s">
        <v>36</v>
      </c>
      <c r="B1" s="17"/>
      <c r="C1" s="17"/>
      <c r="D1" s="17"/>
      <c r="E1" s="17"/>
      <c r="F1" s="17"/>
      <c r="G1" s="17"/>
      <c r="H1" s="17"/>
    </row>
    <row r="2" spans="1:8" ht="20" customHeight="1">
      <c r="A2" s="18" t="s">
        <v>37</v>
      </c>
      <c r="B2" s="18"/>
      <c r="C2" s="18"/>
      <c r="D2" s="18"/>
      <c r="E2" s="18"/>
      <c r="F2" s="18"/>
      <c r="G2" s="18"/>
      <c r="H2" s="18"/>
    </row>
    <row r="4" spans="1:8" ht="20" customHeight="1">
      <c r="A4" s="1" t="s">
        <v>38</v>
      </c>
      <c r="B4" s="4" t="s">
        <v>39</v>
      </c>
      <c r="C4" s="4" t="s">
        <v>40</v>
      </c>
      <c r="D4" s="4" t="s">
        <v>41</v>
      </c>
      <c r="E4" s="4" t="s">
        <v>42</v>
      </c>
      <c r="F4" s="2" t="s">
        <v>43</v>
      </c>
    </row>
    <row r="5" spans="1:8" ht="20" customHeight="1">
      <c r="A5" t="s">
        <v>44</v>
      </c>
      <c r="B5" s="6">
        <v>-2.5000000000000001E-2</v>
      </c>
      <c r="C5" s="6">
        <v>-1.2E-2</v>
      </c>
      <c r="D5" s="7">
        <v>0.55000000000000004</v>
      </c>
      <c r="E5" s="6">
        <v>0.01</v>
      </c>
      <c r="F5" s="6">
        <v>0.2</v>
      </c>
    </row>
    <row r="6" spans="1:8" ht="20" customHeight="1">
      <c r="A6" t="s">
        <v>45</v>
      </c>
      <c r="B6" s="6">
        <v>-0.01</v>
      </c>
      <c r="C6" s="6">
        <v>-8.0000000000000002E-3</v>
      </c>
      <c r="D6" s="7">
        <v>0.65</v>
      </c>
      <c r="E6" s="6">
        <v>1.4999999999999999E-2</v>
      </c>
      <c r="F6" s="6">
        <v>0.23</v>
      </c>
    </row>
    <row r="7" spans="1:8" ht="20" customHeight="1">
      <c r="A7" t="s">
        <v>46</v>
      </c>
      <c r="B7" s="6">
        <v>5.0000000000000001E-3</v>
      </c>
      <c r="C7" s="6">
        <v>-4.0000000000000001E-3</v>
      </c>
      <c r="D7" s="7">
        <v>0.75</v>
      </c>
      <c r="E7" s="6">
        <v>0.02</v>
      </c>
      <c r="F7" s="6">
        <v>0.26</v>
      </c>
    </row>
    <row r="8" spans="1:8" ht="20" customHeight="1">
      <c r="A8" t="s">
        <v>47</v>
      </c>
      <c r="B8" t="s">
        <v>48</v>
      </c>
      <c r="C8" t="s">
        <v>49</v>
      </c>
      <c r="D8" t="s">
        <v>50</v>
      </c>
      <c r="E8" t="s">
        <v>51</v>
      </c>
      <c r="F8" t="s">
        <v>52</v>
      </c>
    </row>
    <row r="10" spans="1:8" ht="20" customHeight="1">
      <c r="A10" t="s">
        <v>53</v>
      </c>
    </row>
    <row r="11" spans="1:8" ht="20" customHeight="1">
      <c r="A11" t="s">
        <v>54</v>
      </c>
      <c r="B11" t="s">
        <v>55</v>
      </c>
      <c r="C11" t="s">
        <v>56</v>
      </c>
      <c r="H11" t="s">
        <v>57</v>
      </c>
    </row>
    <row r="12" spans="1:8" ht="20" customHeight="1">
      <c r="A12" t="s">
        <v>58</v>
      </c>
      <c r="B12" t="s">
        <v>59</v>
      </c>
      <c r="C12" t="s">
        <v>56</v>
      </c>
      <c r="H12" t="s">
        <v>60</v>
      </c>
    </row>
    <row r="13" spans="1:8" ht="20" customHeight="1">
      <c r="A13" t="s">
        <v>61</v>
      </c>
      <c r="B13" t="s">
        <v>62</v>
      </c>
      <c r="C13" t="s">
        <v>63</v>
      </c>
      <c r="H13" t="s">
        <v>64</v>
      </c>
    </row>
    <row r="14" spans="1:8" ht="20" customHeight="1">
      <c r="A14" t="s">
        <v>65</v>
      </c>
      <c r="B14" t="s">
        <v>66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ED8504-3815-124B-831C-CE8FF4BCDCFC}">
  <dimension ref="A1:O8"/>
  <sheetViews>
    <sheetView workbookViewId="0">
      <selection activeCell="B21" sqref="B21"/>
    </sheetView>
  </sheetViews>
  <sheetFormatPr baseColWidth="10" defaultRowHeight="14"/>
  <cols>
    <col min="1" max="1" width="13.1640625" bestFit="1" customWidth="1"/>
    <col min="2" max="2" width="12.5" bestFit="1" customWidth="1"/>
    <col min="3" max="3" width="14.1640625" bestFit="1" customWidth="1"/>
    <col min="4" max="4" width="17" bestFit="1" customWidth="1"/>
    <col min="5" max="5" width="20.5" bestFit="1" customWidth="1"/>
    <col min="6" max="6" width="14.5" bestFit="1" customWidth="1"/>
    <col min="7" max="7" width="24.5" bestFit="1" customWidth="1"/>
    <col min="8" max="8" width="23.1640625" bestFit="1" customWidth="1"/>
    <col min="9" max="9" width="13.6640625" bestFit="1" customWidth="1"/>
    <col min="10" max="10" width="20.5" bestFit="1" customWidth="1"/>
    <col min="11" max="11" width="17.1640625" bestFit="1" customWidth="1"/>
    <col min="12" max="12" width="21.83203125" bestFit="1" customWidth="1"/>
    <col min="13" max="13" width="19.83203125" bestFit="1" customWidth="1"/>
    <col min="14" max="14" width="14.33203125" bestFit="1" customWidth="1"/>
    <col min="15" max="15" width="11" bestFit="1" customWidth="1"/>
  </cols>
  <sheetData>
    <row r="1" spans="1:15" ht="15">
      <c r="A1" s="15" t="s">
        <v>126</v>
      </c>
    </row>
    <row r="3" spans="1:15">
      <c r="A3" t="s">
        <v>67</v>
      </c>
      <c r="B3" t="s">
        <v>68</v>
      </c>
      <c r="C3" t="s">
        <v>69</v>
      </c>
      <c r="D3" t="s">
        <v>70</v>
      </c>
      <c r="E3" t="s">
        <v>71</v>
      </c>
      <c r="F3" t="s">
        <v>72</v>
      </c>
      <c r="G3" t="s">
        <v>73</v>
      </c>
      <c r="H3" t="s">
        <v>74</v>
      </c>
      <c r="I3" t="s">
        <v>75</v>
      </c>
      <c r="J3" t="s">
        <v>76</v>
      </c>
      <c r="K3" t="s">
        <v>77</v>
      </c>
      <c r="L3" t="s">
        <v>78</v>
      </c>
      <c r="M3" t="s">
        <v>79</v>
      </c>
      <c r="N3" t="s">
        <v>80</v>
      </c>
      <c r="O3" t="s">
        <v>125</v>
      </c>
    </row>
    <row r="4" spans="1:15">
      <c r="A4" s="14">
        <v>45838</v>
      </c>
      <c r="B4">
        <v>535.83000000000004</v>
      </c>
      <c r="C4">
        <v>498.24</v>
      </c>
      <c r="D4">
        <v>105.41</v>
      </c>
      <c r="E4">
        <v>186.11</v>
      </c>
      <c r="F4">
        <v>349.56</v>
      </c>
      <c r="G4">
        <v>18.984000000000002</v>
      </c>
      <c r="H4">
        <v>17.920999999999999</v>
      </c>
      <c r="I4">
        <v>3.0819999999999999</v>
      </c>
      <c r="J4">
        <v>319.70999999999998</v>
      </c>
      <c r="K4">
        <v>338.65</v>
      </c>
      <c r="L4">
        <v>321.99</v>
      </c>
      <c r="M4">
        <v>179.84</v>
      </c>
      <c r="N4">
        <v>1</v>
      </c>
      <c r="O4" t="s">
        <v>29</v>
      </c>
    </row>
    <row r="5" spans="1:15">
      <c r="A5" s="14">
        <v>45831</v>
      </c>
      <c r="B5">
        <v>529.38</v>
      </c>
      <c r="C5">
        <v>499.56</v>
      </c>
      <c r="D5">
        <v>100.54</v>
      </c>
      <c r="E5">
        <v>195.55</v>
      </c>
      <c r="F5">
        <v>355.5</v>
      </c>
      <c r="G5">
        <v>18.925999999999998</v>
      </c>
      <c r="H5">
        <v>18.481000000000002</v>
      </c>
      <c r="I5">
        <v>3.016</v>
      </c>
      <c r="J5">
        <v>316.64</v>
      </c>
      <c r="K5">
        <v>343.29</v>
      </c>
      <c r="L5">
        <v>319.83999999999997</v>
      </c>
      <c r="M5">
        <v>175.55</v>
      </c>
      <c r="N5">
        <v>1</v>
      </c>
      <c r="O5" t="s">
        <v>29</v>
      </c>
    </row>
    <row r="6" spans="1:15">
      <c r="A6" s="14">
        <v>45824</v>
      </c>
      <c r="B6">
        <v>540.15</v>
      </c>
      <c r="C6">
        <v>521.73</v>
      </c>
      <c r="D6">
        <v>101.73</v>
      </c>
      <c r="E6">
        <v>196.26</v>
      </c>
      <c r="F6">
        <v>362.61</v>
      </c>
      <c r="G6">
        <v>19.239000000000001</v>
      </c>
      <c r="H6">
        <v>18.419</v>
      </c>
      <c r="I6">
        <v>2.9820000000000002</v>
      </c>
      <c r="J6">
        <v>318.89</v>
      </c>
      <c r="K6">
        <v>348.83</v>
      </c>
      <c r="L6">
        <v>322.48</v>
      </c>
      <c r="M6">
        <v>183.67</v>
      </c>
      <c r="N6">
        <v>1</v>
      </c>
      <c r="O6" t="s">
        <v>29</v>
      </c>
    </row>
    <row r="7" spans="1:15">
      <c r="A7" s="14">
        <v>45817</v>
      </c>
      <c r="B7">
        <v>546.03</v>
      </c>
      <c r="C7">
        <v>512.30999999999995</v>
      </c>
      <c r="D7">
        <v>105.18</v>
      </c>
      <c r="E7">
        <v>199.08</v>
      </c>
      <c r="F7">
        <v>356.95</v>
      </c>
      <c r="G7">
        <v>19.428999999999998</v>
      </c>
      <c r="H7">
        <v>18.175000000000001</v>
      </c>
      <c r="I7">
        <v>2.9649999999999999</v>
      </c>
      <c r="J7">
        <v>325.82</v>
      </c>
      <c r="K7">
        <v>344.42</v>
      </c>
      <c r="L7">
        <v>328.05</v>
      </c>
      <c r="M7">
        <v>183.97</v>
      </c>
      <c r="N7">
        <v>1</v>
      </c>
      <c r="O7" t="s">
        <v>29</v>
      </c>
    </row>
    <row r="8" spans="1:15">
      <c r="A8" s="14">
        <v>45810</v>
      </c>
      <c r="B8">
        <v>540.22</v>
      </c>
      <c r="C8">
        <v>520.36</v>
      </c>
      <c r="D8">
        <v>104.11</v>
      </c>
      <c r="E8">
        <v>215.95</v>
      </c>
      <c r="F8">
        <v>363.87</v>
      </c>
      <c r="G8">
        <v>19.335999999999999</v>
      </c>
      <c r="H8">
        <v>19.161000000000001</v>
      </c>
      <c r="I8">
        <v>2.9380000000000002</v>
      </c>
      <c r="J8">
        <v>332.55</v>
      </c>
      <c r="K8">
        <v>349.82</v>
      </c>
      <c r="L8">
        <v>334.63</v>
      </c>
      <c r="M8">
        <v>171.59</v>
      </c>
      <c r="N8">
        <v>1</v>
      </c>
      <c r="O8" t="s">
        <v>29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C5437-85A7-3F4D-95D8-2F5AFE93C23C}">
  <dimension ref="A1:D27"/>
  <sheetViews>
    <sheetView showGridLines="0" tabSelected="1" workbookViewId="0">
      <selection activeCell="F33" sqref="F33"/>
    </sheetView>
  </sheetViews>
  <sheetFormatPr baseColWidth="10" defaultRowHeight="14"/>
  <cols>
    <col min="1" max="1" width="14" bestFit="1" customWidth="1"/>
    <col min="2" max="2" width="13.1640625" bestFit="1" customWidth="1"/>
    <col min="3" max="3" width="21.5" bestFit="1" customWidth="1"/>
    <col min="4" max="4" width="19.83203125" bestFit="1" customWidth="1"/>
    <col min="5" max="5" width="26.33203125" bestFit="1" customWidth="1"/>
    <col min="6" max="6" width="24.33203125" bestFit="1" customWidth="1"/>
    <col min="7" max="7" width="26.33203125" bestFit="1" customWidth="1"/>
    <col min="8" max="8" width="24.33203125" bestFit="1" customWidth="1"/>
    <col min="9" max="9" width="26.33203125" bestFit="1" customWidth="1"/>
    <col min="10" max="10" width="24.33203125" bestFit="1" customWidth="1"/>
    <col min="11" max="11" width="26.33203125" bestFit="1" customWidth="1"/>
    <col min="12" max="12" width="24.33203125" bestFit="1" customWidth="1"/>
    <col min="13" max="13" width="26.33203125" bestFit="1" customWidth="1"/>
    <col min="14" max="14" width="24.33203125" bestFit="1" customWidth="1"/>
    <col min="15" max="15" width="26.33203125" bestFit="1" customWidth="1"/>
    <col min="16" max="16" width="24.33203125" bestFit="1" customWidth="1"/>
    <col min="17" max="17" width="26.33203125" bestFit="1" customWidth="1"/>
    <col min="18" max="18" width="24.33203125" bestFit="1" customWidth="1"/>
    <col min="19" max="19" width="26.33203125" bestFit="1" customWidth="1"/>
    <col min="20" max="20" width="24.33203125" bestFit="1" customWidth="1"/>
    <col min="21" max="21" width="26.33203125" bestFit="1" customWidth="1"/>
    <col min="22" max="22" width="24.33203125" bestFit="1" customWidth="1"/>
    <col min="23" max="23" width="26.33203125" bestFit="1" customWidth="1"/>
    <col min="24" max="24" width="24.33203125" bestFit="1" customWidth="1"/>
    <col min="25" max="25" width="26.33203125" bestFit="1" customWidth="1"/>
    <col min="26" max="26" width="24.33203125" bestFit="1" customWidth="1"/>
    <col min="27" max="27" width="26.33203125" bestFit="1" customWidth="1"/>
    <col min="28" max="28" width="24.33203125" bestFit="1" customWidth="1"/>
    <col min="29" max="29" width="26.33203125" bestFit="1" customWidth="1"/>
    <col min="30" max="30" width="24.33203125" bestFit="1" customWidth="1"/>
    <col min="31" max="31" width="26.33203125" bestFit="1" customWidth="1"/>
    <col min="32" max="32" width="24.33203125" bestFit="1" customWidth="1"/>
    <col min="33" max="33" width="26.33203125" bestFit="1" customWidth="1"/>
    <col min="34" max="34" width="24.33203125" bestFit="1" customWidth="1"/>
    <col min="35" max="35" width="26.33203125" bestFit="1" customWidth="1"/>
    <col min="36" max="36" width="24.33203125" bestFit="1" customWidth="1"/>
    <col min="37" max="37" width="26.33203125" bestFit="1" customWidth="1"/>
    <col min="38" max="38" width="24.33203125" bestFit="1" customWidth="1"/>
    <col min="39" max="39" width="26.33203125" bestFit="1" customWidth="1"/>
    <col min="40" max="40" width="24.33203125" bestFit="1" customWidth="1"/>
    <col min="41" max="41" width="26.33203125" bestFit="1" customWidth="1"/>
    <col min="42" max="42" width="24.33203125" bestFit="1" customWidth="1"/>
    <col min="43" max="43" width="26.33203125" bestFit="1" customWidth="1"/>
    <col min="44" max="44" width="24.33203125" bestFit="1" customWidth="1"/>
    <col min="45" max="45" width="26.33203125" bestFit="1" customWidth="1"/>
    <col min="46" max="46" width="24.33203125" bestFit="1" customWidth="1"/>
    <col min="47" max="47" width="26.33203125" bestFit="1" customWidth="1"/>
    <col min="48" max="48" width="24.33203125" bestFit="1" customWidth="1"/>
    <col min="49" max="49" width="26.33203125" bestFit="1" customWidth="1"/>
    <col min="50" max="50" width="24.33203125" bestFit="1" customWidth="1"/>
    <col min="51" max="51" width="26.33203125" bestFit="1" customWidth="1"/>
    <col min="52" max="52" width="24.33203125" bestFit="1" customWidth="1"/>
    <col min="53" max="53" width="26.33203125" bestFit="1" customWidth="1"/>
    <col min="54" max="54" width="24.33203125" bestFit="1" customWidth="1"/>
    <col min="55" max="55" width="26.33203125" bestFit="1" customWidth="1"/>
    <col min="56" max="56" width="24.33203125" bestFit="1" customWidth="1"/>
    <col min="57" max="57" width="26.33203125" bestFit="1" customWidth="1"/>
    <col min="58" max="58" width="24.33203125" bestFit="1" customWidth="1"/>
    <col min="59" max="59" width="26.33203125" bestFit="1" customWidth="1"/>
    <col min="60" max="60" width="24.33203125" bestFit="1" customWidth="1"/>
    <col min="61" max="61" width="26.33203125" bestFit="1" customWidth="1"/>
    <col min="62" max="62" width="24.33203125" bestFit="1" customWidth="1"/>
    <col min="63" max="63" width="26.33203125" bestFit="1" customWidth="1"/>
    <col min="64" max="64" width="24.33203125" bestFit="1" customWidth="1"/>
    <col min="65" max="65" width="26.33203125" bestFit="1" customWidth="1"/>
    <col min="66" max="66" width="24.33203125" bestFit="1" customWidth="1"/>
    <col min="67" max="67" width="26.33203125" bestFit="1" customWidth="1"/>
    <col min="68" max="68" width="24.33203125" bestFit="1" customWidth="1"/>
    <col min="69" max="69" width="26.33203125" bestFit="1" customWidth="1"/>
    <col min="70" max="70" width="24.33203125" bestFit="1" customWidth="1"/>
    <col min="71" max="71" width="26.33203125" bestFit="1" customWidth="1"/>
    <col min="72" max="72" width="24.33203125" bestFit="1" customWidth="1"/>
    <col min="73" max="73" width="26.33203125" bestFit="1" customWidth="1"/>
    <col min="74" max="74" width="24.33203125" bestFit="1" customWidth="1"/>
    <col min="75" max="75" width="26.33203125" bestFit="1" customWidth="1"/>
    <col min="76" max="76" width="24.33203125" bestFit="1" customWidth="1"/>
    <col min="77" max="77" width="26.33203125" bestFit="1" customWidth="1"/>
    <col min="78" max="78" width="24.33203125" bestFit="1" customWidth="1"/>
    <col min="79" max="79" width="26.33203125" bestFit="1" customWidth="1"/>
    <col min="80" max="80" width="24.33203125" bestFit="1" customWidth="1"/>
    <col min="81" max="81" width="26.33203125" bestFit="1" customWidth="1"/>
    <col min="82" max="82" width="24.33203125" bestFit="1" customWidth="1"/>
    <col min="83" max="83" width="26.33203125" bestFit="1" customWidth="1"/>
    <col min="84" max="84" width="24.33203125" bestFit="1" customWidth="1"/>
    <col min="85" max="85" width="26.33203125" bestFit="1" customWidth="1"/>
    <col min="86" max="86" width="24.33203125" bestFit="1" customWidth="1"/>
    <col min="87" max="87" width="26.33203125" bestFit="1" customWidth="1"/>
    <col min="88" max="88" width="24.33203125" bestFit="1" customWidth="1"/>
    <col min="89" max="89" width="26.33203125" bestFit="1" customWidth="1"/>
    <col min="90" max="90" width="24.33203125" bestFit="1" customWidth="1"/>
    <col min="91" max="91" width="26.33203125" bestFit="1" customWidth="1"/>
    <col min="92" max="92" width="24.33203125" bestFit="1" customWidth="1"/>
    <col min="93" max="93" width="26.33203125" bestFit="1" customWidth="1"/>
    <col min="94" max="94" width="24.33203125" bestFit="1" customWidth="1"/>
    <col min="95" max="95" width="26.33203125" bestFit="1" customWidth="1"/>
    <col min="96" max="96" width="24.33203125" bestFit="1" customWidth="1"/>
    <col min="97" max="97" width="26.33203125" bestFit="1" customWidth="1"/>
    <col min="98" max="98" width="24.33203125" bestFit="1" customWidth="1"/>
    <col min="99" max="99" width="26.33203125" bestFit="1" customWidth="1"/>
    <col min="100" max="100" width="24.33203125" bestFit="1" customWidth="1"/>
    <col min="101" max="101" width="26.33203125" bestFit="1" customWidth="1"/>
    <col min="102" max="102" width="24.33203125" bestFit="1" customWidth="1"/>
    <col min="103" max="103" width="26.33203125" bestFit="1" customWidth="1"/>
    <col min="104" max="104" width="24.33203125" bestFit="1" customWidth="1"/>
    <col min="105" max="105" width="26.33203125" bestFit="1" customWidth="1"/>
    <col min="106" max="106" width="24.33203125" bestFit="1" customWidth="1"/>
    <col min="107" max="107" width="26.33203125" bestFit="1" customWidth="1"/>
    <col min="108" max="108" width="24.33203125" bestFit="1" customWidth="1"/>
    <col min="109" max="109" width="26.33203125" bestFit="1" customWidth="1"/>
    <col min="110" max="110" width="24.33203125" bestFit="1" customWidth="1"/>
    <col min="111" max="111" width="26.33203125" bestFit="1" customWidth="1"/>
    <col min="112" max="112" width="24.33203125" bestFit="1" customWidth="1"/>
    <col min="113" max="113" width="26.33203125" bestFit="1" customWidth="1"/>
    <col min="114" max="114" width="24.33203125" bestFit="1" customWidth="1"/>
    <col min="115" max="115" width="26.33203125" bestFit="1" customWidth="1"/>
    <col min="116" max="116" width="24.33203125" bestFit="1" customWidth="1"/>
    <col min="117" max="117" width="26.33203125" bestFit="1" customWidth="1"/>
    <col min="118" max="118" width="24.33203125" bestFit="1" customWidth="1"/>
    <col min="119" max="119" width="26.33203125" bestFit="1" customWidth="1"/>
    <col min="120" max="120" width="24.33203125" bestFit="1" customWidth="1"/>
    <col min="121" max="121" width="26.33203125" bestFit="1" customWidth="1"/>
    <col min="122" max="122" width="24.33203125" bestFit="1" customWidth="1"/>
    <col min="123" max="123" width="26.33203125" bestFit="1" customWidth="1"/>
    <col min="124" max="124" width="24.33203125" bestFit="1" customWidth="1"/>
    <col min="125" max="125" width="26.33203125" bestFit="1" customWidth="1"/>
    <col min="126" max="126" width="24.33203125" bestFit="1" customWidth="1"/>
    <col min="127" max="127" width="26.33203125" bestFit="1" customWidth="1"/>
    <col min="128" max="128" width="24.33203125" bestFit="1" customWidth="1"/>
    <col min="129" max="129" width="26.33203125" bestFit="1" customWidth="1"/>
    <col min="130" max="130" width="24.33203125" bestFit="1" customWidth="1"/>
    <col min="131" max="131" width="26.33203125" bestFit="1" customWidth="1"/>
    <col min="132" max="132" width="24.33203125" bestFit="1" customWidth="1"/>
    <col min="133" max="133" width="26.33203125" bestFit="1" customWidth="1"/>
    <col min="134" max="134" width="24.33203125" bestFit="1" customWidth="1"/>
    <col min="135" max="135" width="26.33203125" bestFit="1" customWidth="1"/>
    <col min="136" max="136" width="24.33203125" bestFit="1" customWidth="1"/>
    <col min="137" max="137" width="26.33203125" bestFit="1" customWidth="1"/>
    <col min="138" max="138" width="24.33203125" bestFit="1" customWidth="1"/>
    <col min="139" max="139" width="26.33203125" bestFit="1" customWidth="1"/>
    <col min="140" max="140" width="24.33203125" bestFit="1" customWidth="1"/>
    <col min="141" max="141" width="26.33203125" bestFit="1" customWidth="1"/>
    <col min="142" max="142" width="24.33203125" bestFit="1" customWidth="1"/>
    <col min="143" max="143" width="26.33203125" bestFit="1" customWidth="1"/>
    <col min="144" max="144" width="24.33203125" bestFit="1" customWidth="1"/>
    <col min="145" max="145" width="26.33203125" bestFit="1" customWidth="1"/>
    <col min="146" max="146" width="24.33203125" bestFit="1" customWidth="1"/>
    <col min="147" max="147" width="26.33203125" bestFit="1" customWidth="1"/>
    <col min="148" max="148" width="24.33203125" bestFit="1" customWidth="1"/>
    <col min="149" max="149" width="26.33203125" bestFit="1" customWidth="1"/>
    <col min="150" max="150" width="24.33203125" bestFit="1" customWidth="1"/>
    <col min="151" max="151" width="26.33203125" bestFit="1" customWidth="1"/>
    <col min="152" max="152" width="24.33203125" bestFit="1" customWidth="1"/>
    <col min="153" max="153" width="26.33203125" bestFit="1" customWidth="1"/>
    <col min="154" max="154" width="24.33203125" bestFit="1" customWidth="1"/>
    <col min="155" max="155" width="26.33203125" bestFit="1" customWidth="1"/>
    <col min="156" max="156" width="24.33203125" bestFit="1" customWidth="1"/>
    <col min="157" max="157" width="26.33203125" bestFit="1" customWidth="1"/>
    <col min="158" max="158" width="24.33203125" bestFit="1" customWidth="1"/>
    <col min="159" max="159" width="26.33203125" bestFit="1" customWidth="1"/>
    <col min="160" max="160" width="24.33203125" bestFit="1" customWidth="1"/>
    <col min="161" max="161" width="26.33203125" bestFit="1" customWidth="1"/>
    <col min="162" max="162" width="24.33203125" bestFit="1" customWidth="1"/>
    <col min="163" max="163" width="26.33203125" bestFit="1" customWidth="1"/>
    <col min="164" max="164" width="24.33203125" bestFit="1" customWidth="1"/>
    <col min="165" max="165" width="26.33203125" bestFit="1" customWidth="1"/>
    <col min="166" max="166" width="24.33203125" bestFit="1" customWidth="1"/>
    <col min="167" max="167" width="26.33203125" bestFit="1" customWidth="1"/>
    <col min="168" max="168" width="24.33203125" bestFit="1" customWidth="1"/>
    <col min="169" max="169" width="26.33203125" bestFit="1" customWidth="1"/>
    <col min="170" max="170" width="24.33203125" bestFit="1" customWidth="1"/>
    <col min="171" max="171" width="26.33203125" bestFit="1" customWidth="1"/>
    <col min="172" max="172" width="24.33203125" bestFit="1" customWidth="1"/>
    <col min="173" max="173" width="26.33203125" bestFit="1" customWidth="1"/>
    <col min="174" max="174" width="24.33203125" bestFit="1" customWidth="1"/>
    <col min="175" max="175" width="26.33203125" bestFit="1" customWidth="1"/>
    <col min="176" max="176" width="24.33203125" bestFit="1" customWidth="1"/>
    <col min="177" max="177" width="26.33203125" bestFit="1" customWidth="1"/>
    <col min="178" max="178" width="24.33203125" bestFit="1" customWidth="1"/>
    <col min="179" max="179" width="26.33203125" bestFit="1" customWidth="1"/>
    <col min="180" max="180" width="24.33203125" bestFit="1" customWidth="1"/>
    <col min="181" max="181" width="26.33203125" bestFit="1" customWidth="1"/>
    <col min="182" max="182" width="24.33203125" bestFit="1" customWidth="1"/>
    <col min="183" max="183" width="26.33203125" bestFit="1" customWidth="1"/>
    <col min="184" max="184" width="24.33203125" bestFit="1" customWidth="1"/>
    <col min="185" max="185" width="26.33203125" bestFit="1" customWidth="1"/>
    <col min="186" max="186" width="24.33203125" bestFit="1" customWidth="1"/>
    <col min="187" max="187" width="26.33203125" bestFit="1" customWidth="1"/>
    <col min="188" max="188" width="24.33203125" bestFit="1" customWidth="1"/>
    <col min="189" max="189" width="26.33203125" bestFit="1" customWidth="1"/>
    <col min="190" max="190" width="24.33203125" bestFit="1" customWidth="1"/>
    <col min="191" max="191" width="26.33203125" bestFit="1" customWidth="1"/>
    <col min="192" max="192" width="24.33203125" bestFit="1" customWidth="1"/>
    <col min="193" max="193" width="26.33203125" bestFit="1" customWidth="1"/>
    <col min="194" max="194" width="24.33203125" bestFit="1" customWidth="1"/>
    <col min="195" max="195" width="26.33203125" bestFit="1" customWidth="1"/>
    <col min="196" max="196" width="24.33203125" bestFit="1" customWidth="1"/>
    <col min="197" max="197" width="26.33203125" bestFit="1" customWidth="1"/>
    <col min="198" max="198" width="24.33203125" bestFit="1" customWidth="1"/>
    <col min="199" max="199" width="26.33203125" bestFit="1" customWidth="1"/>
    <col min="200" max="200" width="24.33203125" bestFit="1" customWidth="1"/>
    <col min="201" max="201" width="26.33203125" bestFit="1" customWidth="1"/>
    <col min="202" max="202" width="24.33203125" bestFit="1" customWidth="1"/>
    <col min="203" max="203" width="26.33203125" bestFit="1" customWidth="1"/>
    <col min="204" max="204" width="24.33203125" bestFit="1" customWidth="1"/>
    <col min="205" max="205" width="26.33203125" bestFit="1" customWidth="1"/>
    <col min="206" max="206" width="24.33203125" bestFit="1" customWidth="1"/>
    <col min="207" max="207" width="26.33203125" bestFit="1" customWidth="1"/>
    <col min="208" max="208" width="24.33203125" bestFit="1" customWidth="1"/>
    <col min="209" max="209" width="26.33203125" bestFit="1" customWidth="1"/>
    <col min="210" max="210" width="24.33203125" bestFit="1" customWidth="1"/>
    <col min="211" max="211" width="26.33203125" bestFit="1" customWidth="1"/>
    <col min="212" max="212" width="29.5" bestFit="1" customWidth="1"/>
    <col min="213" max="213" width="31.5" bestFit="1" customWidth="1"/>
  </cols>
  <sheetData>
    <row r="1" spans="1:4" s="21" customFormat="1" ht="21">
      <c r="A1" s="22" t="s">
        <v>127</v>
      </c>
    </row>
    <row r="2" spans="1:4" s="24" customFormat="1" ht="16">
      <c r="A2" s="23" t="s">
        <v>128</v>
      </c>
    </row>
    <row r="3" spans="1:4">
      <c r="A3" s="12" t="s">
        <v>9</v>
      </c>
      <c r="B3" t="s">
        <v>124</v>
      </c>
      <c r="C3" t="s">
        <v>123</v>
      </c>
      <c r="D3" t="s">
        <v>122</v>
      </c>
    </row>
    <row r="4" spans="1:4">
      <c r="A4" s="13" t="s">
        <v>12</v>
      </c>
      <c r="B4" s="16">
        <v>566.16800000000001</v>
      </c>
      <c r="C4" s="16">
        <v>367.51</v>
      </c>
      <c r="D4" s="16">
        <v>164.65799999999999</v>
      </c>
    </row>
    <row r="5" spans="1:4">
      <c r="A5" s="13" t="s">
        <v>13</v>
      </c>
      <c r="B5" s="16">
        <v>565.46500000000003</v>
      </c>
      <c r="C5" s="16">
        <v>373.52249999999998</v>
      </c>
      <c r="D5" s="16">
        <v>157.9425</v>
      </c>
    </row>
    <row r="6" spans="1:4">
      <c r="A6" s="13" t="s">
        <v>14</v>
      </c>
      <c r="B6" s="16">
        <v>570.05999999999995</v>
      </c>
      <c r="C6" s="16">
        <v>385.91499999999996</v>
      </c>
      <c r="D6" s="16">
        <v>150.14249999999998</v>
      </c>
    </row>
    <row r="7" spans="1:4">
      <c r="A7" s="13" t="s">
        <v>15</v>
      </c>
      <c r="B7" s="16">
        <v>576.48800000000006</v>
      </c>
      <c r="C7" s="16">
        <v>364.36799999999999</v>
      </c>
      <c r="D7" s="16">
        <v>178.11999999999998</v>
      </c>
    </row>
    <row r="8" spans="1:4">
      <c r="A8" s="13" t="s">
        <v>16</v>
      </c>
      <c r="B8" s="16">
        <v>567.83749999999998</v>
      </c>
      <c r="C8" s="16">
        <v>354.08000000000004</v>
      </c>
      <c r="D8" s="16">
        <v>179.76249999999999</v>
      </c>
    </row>
    <row r="9" spans="1:4">
      <c r="A9" s="13" t="s">
        <v>17</v>
      </c>
      <c r="B9" s="16">
        <v>552.23</v>
      </c>
      <c r="C9" s="16">
        <v>342.60249999999996</v>
      </c>
      <c r="D9" s="16">
        <v>175.6275</v>
      </c>
    </row>
    <row r="10" spans="1:4">
      <c r="A10" s="13" t="s">
        <v>18</v>
      </c>
      <c r="B10" s="16">
        <v>543.71199999999999</v>
      </c>
      <c r="C10" s="16">
        <v>323.94600000000003</v>
      </c>
      <c r="D10" s="16">
        <v>185.76399999999998</v>
      </c>
    </row>
    <row r="11" spans="1:4">
      <c r="A11" s="13" t="s">
        <v>19</v>
      </c>
      <c r="B11" s="16">
        <v>536.21749999999997</v>
      </c>
      <c r="C11" s="16">
        <v>309.35249999999996</v>
      </c>
      <c r="D11" s="16">
        <v>192.86750000000001</v>
      </c>
    </row>
    <row r="12" spans="1:4">
      <c r="A12" s="13" t="s">
        <v>20</v>
      </c>
      <c r="B12" s="16">
        <v>526.05200000000002</v>
      </c>
      <c r="C12" s="16">
        <v>310.28000000000003</v>
      </c>
      <c r="D12" s="16">
        <v>181.76999999999998</v>
      </c>
    </row>
    <row r="13" spans="1:4">
      <c r="A13" s="13" t="s">
        <v>21</v>
      </c>
      <c r="B13" s="16">
        <v>522.74750000000006</v>
      </c>
      <c r="C13" s="16">
        <v>315.245</v>
      </c>
      <c r="D13" s="16">
        <v>173.5025</v>
      </c>
    </row>
    <row r="14" spans="1:4">
      <c r="A14" s="13" t="s">
        <v>22</v>
      </c>
      <c r="B14" s="16">
        <v>522.08000000000004</v>
      </c>
      <c r="C14" s="16">
        <v>328.09250000000003</v>
      </c>
      <c r="D14" s="16">
        <v>159.99</v>
      </c>
    </row>
    <row r="15" spans="1:4">
      <c r="A15" s="13" t="s">
        <v>23</v>
      </c>
      <c r="B15" s="16">
        <v>530.95600000000002</v>
      </c>
      <c r="C15" s="16">
        <v>343.10800000000006</v>
      </c>
      <c r="D15" s="16">
        <v>153.846</v>
      </c>
    </row>
    <row r="16" spans="1:4">
      <c r="A16" s="13" t="s">
        <v>24</v>
      </c>
      <c r="B16" s="16">
        <v>552.35500000000002</v>
      </c>
      <c r="C16" s="16">
        <v>358.21</v>
      </c>
      <c r="D16" s="16">
        <v>160.14250000000001</v>
      </c>
    </row>
    <row r="17" spans="1:4">
      <c r="A17" s="13" t="s">
        <v>25</v>
      </c>
      <c r="B17" s="16">
        <v>557.77750000000003</v>
      </c>
      <c r="C17" s="16">
        <v>361.36750000000001</v>
      </c>
      <c r="D17" s="16">
        <v>162.41250000000002</v>
      </c>
    </row>
    <row r="18" spans="1:4">
      <c r="A18" s="13" t="s">
        <v>26</v>
      </c>
      <c r="B18" s="16">
        <v>561.66800000000001</v>
      </c>
      <c r="C18" s="16">
        <v>365.55599999999998</v>
      </c>
      <c r="D18" s="16">
        <v>162.114</v>
      </c>
    </row>
    <row r="19" spans="1:4">
      <c r="A19" s="13" t="s">
        <v>27</v>
      </c>
      <c r="B19" s="16">
        <v>561.85500000000002</v>
      </c>
      <c r="C19" s="16">
        <v>353.69500000000005</v>
      </c>
      <c r="D19" s="16">
        <v>174.16</v>
      </c>
    </row>
    <row r="20" spans="1:4">
      <c r="A20" s="13" t="s">
        <v>28</v>
      </c>
      <c r="B20" s="16">
        <v>553.59249999999997</v>
      </c>
      <c r="C20" s="16">
        <v>345.63</v>
      </c>
      <c r="D20" s="16">
        <v>173.96749999999997</v>
      </c>
    </row>
    <row r="21" spans="1:4">
      <c r="A21" s="13" t="s">
        <v>29</v>
      </c>
      <c r="B21" s="16">
        <v>538.322</v>
      </c>
      <c r="C21" s="16">
        <v>325.39800000000002</v>
      </c>
      <c r="D21" s="16">
        <v>178.92400000000001</v>
      </c>
    </row>
    <row r="22" spans="1:4">
      <c r="A22" s="13" t="s">
        <v>30</v>
      </c>
      <c r="B22" s="16">
        <v>533.72500000000002</v>
      </c>
      <c r="C22" s="16">
        <v>310.00749999999999</v>
      </c>
      <c r="D22" s="16">
        <v>189.72</v>
      </c>
    </row>
    <row r="23" spans="1:4">
      <c r="A23" s="13" t="s">
        <v>31</v>
      </c>
      <c r="B23" s="16">
        <v>522.33749999999998</v>
      </c>
      <c r="C23" s="16">
        <v>301.39750000000004</v>
      </c>
      <c r="D23" s="16">
        <v>186.94250000000002</v>
      </c>
    </row>
    <row r="24" spans="1:4">
      <c r="A24" s="13" t="s">
        <v>32</v>
      </c>
      <c r="B24" s="16">
        <v>511.93599999999998</v>
      </c>
      <c r="C24" s="16">
        <v>295.24400000000003</v>
      </c>
      <c r="D24" s="16">
        <v>182.69200000000001</v>
      </c>
    </row>
    <row r="25" spans="1:4">
      <c r="A25" s="13" t="s">
        <v>33</v>
      </c>
      <c r="B25" s="16">
        <v>515.92000000000007</v>
      </c>
      <c r="C25" s="16">
        <v>300.93</v>
      </c>
      <c r="D25" s="16">
        <v>180.99250000000001</v>
      </c>
    </row>
    <row r="26" spans="1:4">
      <c r="A26" s="13" t="s">
        <v>34</v>
      </c>
      <c r="B26" s="16">
        <v>519.71</v>
      </c>
      <c r="C26" s="16">
        <v>316.30499999999995</v>
      </c>
      <c r="D26" s="16">
        <v>169.41</v>
      </c>
    </row>
    <row r="27" spans="1:4">
      <c r="A27" s="13" t="s">
        <v>35</v>
      </c>
      <c r="B27" s="16">
        <v>527.53499999999997</v>
      </c>
      <c r="C27" s="16">
        <v>323.45999999999998</v>
      </c>
      <c r="D27" s="16">
        <v>170.07500000000002</v>
      </c>
    </row>
  </sheetData>
  <pageMargins left="0.7" right="0.7" top="0.75" bottom="0.75" header="0.3" footer="0.3"/>
  <pageSetup orientation="portrait" horizontalDpi="0" verticalDpi="0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105"/>
  <sheetViews>
    <sheetView workbookViewId="0">
      <selection activeCell="Q8" sqref="Q8"/>
    </sheetView>
  </sheetViews>
  <sheetFormatPr baseColWidth="10" defaultColWidth="8.83203125" defaultRowHeight="14"/>
  <cols>
    <col min="1" max="1" width="11.1640625" customWidth="1"/>
    <col min="2" max="2" width="10.5" customWidth="1"/>
    <col min="3" max="3" width="12" customWidth="1"/>
    <col min="4" max="4" width="14.5" customWidth="1"/>
    <col min="5" max="5" width="17.33203125" customWidth="1"/>
    <col min="6" max="6" width="12.33203125" customWidth="1"/>
    <col min="7" max="7" width="20.6640625" customWidth="1"/>
    <col min="8" max="8" width="19.6640625" customWidth="1"/>
    <col min="9" max="9" width="11.5" customWidth="1"/>
    <col min="10" max="10" width="17.1640625" customWidth="1"/>
    <col min="11" max="11" width="14.5" customWidth="1"/>
    <col min="12" max="12" width="18.5" customWidth="1"/>
    <col min="13" max="13" width="16.83203125" customWidth="1"/>
    <col min="14" max="14" width="12.1640625" customWidth="1"/>
  </cols>
  <sheetData>
    <row r="1" spans="1:15" ht="20" customHeight="1">
      <c r="A1" s="1" t="s">
        <v>67</v>
      </c>
      <c r="B1" s="4" t="s">
        <v>68</v>
      </c>
      <c r="C1" s="4" t="s">
        <v>69</v>
      </c>
      <c r="D1" s="4" t="s">
        <v>70</v>
      </c>
      <c r="E1" s="4" t="s">
        <v>71</v>
      </c>
      <c r="F1" s="4" t="s">
        <v>72</v>
      </c>
      <c r="G1" s="4" t="s">
        <v>73</v>
      </c>
      <c r="H1" s="4" t="s">
        <v>74</v>
      </c>
      <c r="I1" s="4" t="s">
        <v>75</v>
      </c>
      <c r="J1" s="4" t="s">
        <v>76</v>
      </c>
      <c r="K1" s="4" t="s">
        <v>77</v>
      </c>
      <c r="L1" s="4" t="s">
        <v>78</v>
      </c>
      <c r="M1" s="4" t="s">
        <v>79</v>
      </c>
      <c r="N1" s="2" t="s">
        <v>80</v>
      </c>
      <c r="O1" t="s">
        <v>125</v>
      </c>
    </row>
    <row r="2" spans="1:15" ht="20" customHeight="1">
      <c r="A2" s="8">
        <v>45292</v>
      </c>
      <c r="B2" s="9">
        <v>563.20000000000005</v>
      </c>
      <c r="C2" s="9">
        <v>502.07</v>
      </c>
      <c r="D2" s="9">
        <v>110.64</v>
      </c>
      <c r="E2" s="9">
        <v>268.47000000000003</v>
      </c>
      <c r="F2" s="9">
        <v>370.68</v>
      </c>
      <c r="G2" s="10">
        <v>19.581</v>
      </c>
      <c r="H2" s="10">
        <v>18.847000000000001</v>
      </c>
      <c r="I2" s="10">
        <v>2.089</v>
      </c>
      <c r="J2" s="9">
        <v>369.27</v>
      </c>
      <c r="K2" s="9">
        <v>355.13</v>
      </c>
      <c r="L2" s="9">
        <v>367.57</v>
      </c>
      <c r="M2" s="9">
        <v>161.63</v>
      </c>
      <c r="N2">
        <v>1</v>
      </c>
      <c r="O2" t="str">
        <f t="shared" ref="O2:O33" si="0">TEXT(A2,"yyyy-mm")</f>
        <v>2024-01</v>
      </c>
    </row>
    <row r="3" spans="1:15" ht="20" customHeight="1">
      <c r="A3" s="8">
        <v>45299</v>
      </c>
      <c r="B3" s="9">
        <v>570.94000000000005</v>
      </c>
      <c r="C3" s="9">
        <v>517.45000000000005</v>
      </c>
      <c r="D3" s="9">
        <v>113.65</v>
      </c>
      <c r="E3" s="9">
        <v>273.98</v>
      </c>
      <c r="F3" s="9">
        <v>360.13</v>
      </c>
      <c r="G3" s="10">
        <v>20.099</v>
      </c>
      <c r="H3" s="10">
        <v>19.056000000000001</v>
      </c>
      <c r="I3" s="10">
        <v>2.1280000000000001</v>
      </c>
      <c r="J3" s="9">
        <v>376.82</v>
      </c>
      <c r="K3" s="9">
        <v>346.9</v>
      </c>
      <c r="L3" s="9">
        <v>373.23</v>
      </c>
      <c r="M3" s="9">
        <v>163.69999999999999</v>
      </c>
      <c r="N3">
        <v>1</v>
      </c>
      <c r="O3" t="str">
        <f t="shared" si="0"/>
        <v>2024-01</v>
      </c>
    </row>
    <row r="4" spans="1:15" ht="20" customHeight="1">
      <c r="A4" s="8">
        <v>45306</v>
      </c>
      <c r="B4" s="9">
        <v>566.09</v>
      </c>
      <c r="C4" s="9">
        <v>497.03</v>
      </c>
      <c r="D4" s="9">
        <v>106.09</v>
      </c>
      <c r="E4" s="9">
        <v>260.35000000000002</v>
      </c>
      <c r="F4" s="9">
        <v>367.83</v>
      </c>
      <c r="G4" s="10">
        <v>19.734000000000002</v>
      </c>
      <c r="H4" s="10">
        <v>19.62</v>
      </c>
      <c r="I4" s="10">
        <v>2.0870000000000002</v>
      </c>
      <c r="J4" s="9">
        <v>357.92</v>
      </c>
      <c r="K4" s="9">
        <v>352.9</v>
      </c>
      <c r="L4" s="9">
        <v>357.32</v>
      </c>
      <c r="M4" s="9">
        <v>174.77</v>
      </c>
      <c r="N4">
        <v>1</v>
      </c>
      <c r="O4" t="str">
        <f t="shared" si="0"/>
        <v>2024-01</v>
      </c>
    </row>
    <row r="5" spans="1:15" ht="20" customHeight="1">
      <c r="A5" s="8">
        <v>45313</v>
      </c>
      <c r="B5" s="9">
        <v>559.9</v>
      </c>
      <c r="C5" s="9">
        <v>507.91</v>
      </c>
      <c r="D5" s="9">
        <v>112.41</v>
      </c>
      <c r="E5" s="9">
        <v>284.06</v>
      </c>
      <c r="F5" s="9">
        <v>380.93</v>
      </c>
      <c r="G5" s="10">
        <v>19.548999999999999</v>
      </c>
      <c r="H5" s="10">
        <v>19.727</v>
      </c>
      <c r="I5" s="10">
        <v>2.0910000000000002</v>
      </c>
      <c r="J5" s="9">
        <v>379.89</v>
      </c>
      <c r="K5" s="9">
        <v>363.12</v>
      </c>
      <c r="L5" s="9">
        <v>377.88</v>
      </c>
      <c r="M5" s="9">
        <v>148.03</v>
      </c>
      <c r="N5">
        <v>1</v>
      </c>
      <c r="O5" t="str">
        <f t="shared" si="0"/>
        <v>2024-01</v>
      </c>
    </row>
    <row r="6" spans="1:15" ht="20" customHeight="1">
      <c r="A6" s="8">
        <v>45320</v>
      </c>
      <c r="B6" s="9">
        <v>570.71</v>
      </c>
      <c r="C6" s="9">
        <v>528.74</v>
      </c>
      <c r="D6" s="9">
        <v>114.6</v>
      </c>
      <c r="E6" s="9">
        <v>244.7</v>
      </c>
      <c r="F6" s="9">
        <v>358.63</v>
      </c>
      <c r="G6" s="10">
        <v>19.661000000000001</v>
      </c>
      <c r="H6" s="10">
        <v>19.456</v>
      </c>
      <c r="I6" s="10">
        <v>2.2069999999999999</v>
      </c>
      <c r="J6" s="9">
        <v>363.7</v>
      </c>
      <c r="K6" s="9">
        <v>345.73</v>
      </c>
      <c r="L6" s="9">
        <v>361.55</v>
      </c>
      <c r="M6" s="9">
        <v>175.16</v>
      </c>
      <c r="N6">
        <v>1</v>
      </c>
      <c r="O6" t="str">
        <f t="shared" si="0"/>
        <v>2024-01</v>
      </c>
    </row>
    <row r="7" spans="1:15" ht="20" customHeight="1">
      <c r="A7" s="8">
        <v>45327</v>
      </c>
      <c r="B7" s="9">
        <v>558.95000000000005</v>
      </c>
      <c r="C7" s="9">
        <v>527.1</v>
      </c>
      <c r="D7" s="9">
        <v>114.62</v>
      </c>
      <c r="E7" s="9">
        <v>266.39</v>
      </c>
      <c r="F7" s="9">
        <v>379.33</v>
      </c>
      <c r="G7" s="10">
        <v>20.399999999999999</v>
      </c>
      <c r="H7" s="10">
        <v>19.523</v>
      </c>
      <c r="I7" s="10">
        <v>2.1859999999999999</v>
      </c>
      <c r="J7" s="9">
        <v>374.58</v>
      </c>
      <c r="K7" s="9">
        <v>361.88</v>
      </c>
      <c r="L7" s="9">
        <v>373.06</v>
      </c>
      <c r="M7" s="9">
        <v>151.88999999999999</v>
      </c>
      <c r="N7">
        <v>1</v>
      </c>
      <c r="O7" t="str">
        <f t="shared" si="0"/>
        <v>2024-02</v>
      </c>
    </row>
    <row r="8" spans="1:15" ht="20" customHeight="1">
      <c r="A8" s="8">
        <v>45334</v>
      </c>
      <c r="B8" s="9">
        <v>560.35</v>
      </c>
      <c r="C8" s="9">
        <v>524.76</v>
      </c>
      <c r="D8" s="9">
        <v>115.36</v>
      </c>
      <c r="E8" s="9">
        <v>271.93</v>
      </c>
      <c r="F8" s="9">
        <v>371.83</v>
      </c>
      <c r="G8" s="10">
        <v>20.303999999999998</v>
      </c>
      <c r="H8" s="10">
        <v>19.446999999999999</v>
      </c>
      <c r="I8" s="10">
        <v>2.2290000000000001</v>
      </c>
      <c r="J8" s="9">
        <v>378.54</v>
      </c>
      <c r="K8" s="9">
        <v>356.03</v>
      </c>
      <c r="L8" s="9">
        <v>375.84</v>
      </c>
      <c r="M8" s="9">
        <v>150.51</v>
      </c>
      <c r="N8">
        <v>1</v>
      </c>
      <c r="O8" t="str">
        <f t="shared" si="0"/>
        <v>2024-02</v>
      </c>
    </row>
    <row r="9" spans="1:15" ht="20" customHeight="1">
      <c r="A9" s="8">
        <v>45341</v>
      </c>
      <c r="B9" s="9">
        <v>571.80999999999995</v>
      </c>
      <c r="C9" s="9">
        <v>517.53</v>
      </c>
      <c r="D9" s="9">
        <v>114.8</v>
      </c>
      <c r="E9" s="9">
        <v>253.24</v>
      </c>
      <c r="F9" s="9">
        <v>380.89</v>
      </c>
      <c r="G9" s="10">
        <v>20.87</v>
      </c>
      <c r="H9" s="10">
        <v>19.591999999999999</v>
      </c>
      <c r="I9" s="10">
        <v>2.3380000000000001</v>
      </c>
      <c r="J9" s="9">
        <v>368.31</v>
      </c>
      <c r="K9" s="9">
        <v>363.1</v>
      </c>
      <c r="L9" s="9">
        <v>367.68</v>
      </c>
      <c r="M9" s="9">
        <v>170.13</v>
      </c>
      <c r="N9">
        <v>1</v>
      </c>
      <c r="O9" t="str">
        <f t="shared" si="0"/>
        <v>2024-02</v>
      </c>
    </row>
    <row r="10" spans="1:15" ht="20" customHeight="1">
      <c r="A10" s="8">
        <v>45348</v>
      </c>
      <c r="B10" s="9">
        <v>570.75</v>
      </c>
      <c r="C10" s="9">
        <v>533.48</v>
      </c>
      <c r="D10" s="9">
        <v>115.41</v>
      </c>
      <c r="E10" s="9">
        <v>274.33</v>
      </c>
      <c r="F10" s="9">
        <v>377.7</v>
      </c>
      <c r="G10" s="10">
        <v>20.452000000000002</v>
      </c>
      <c r="H10" s="10">
        <v>19.96</v>
      </c>
      <c r="I10" s="10">
        <v>2.21</v>
      </c>
      <c r="J10" s="9">
        <v>379.82</v>
      </c>
      <c r="K10" s="9">
        <v>360.61</v>
      </c>
      <c r="L10" s="9">
        <v>377.51</v>
      </c>
      <c r="M10" s="9">
        <v>159.24</v>
      </c>
      <c r="N10">
        <v>1</v>
      </c>
      <c r="O10" t="str">
        <f t="shared" si="0"/>
        <v>2024-02</v>
      </c>
    </row>
    <row r="11" spans="1:15" ht="20" customHeight="1">
      <c r="A11" s="8">
        <v>45355</v>
      </c>
      <c r="B11" s="9">
        <v>570.13</v>
      </c>
      <c r="C11" s="9">
        <v>520.71</v>
      </c>
      <c r="D11" s="9">
        <v>127.86</v>
      </c>
      <c r="E11" s="9">
        <v>269.60000000000002</v>
      </c>
      <c r="F11" s="9">
        <v>369.81</v>
      </c>
      <c r="G11" s="10">
        <v>20.62</v>
      </c>
      <c r="H11" s="10">
        <v>19.224</v>
      </c>
      <c r="I11" s="10">
        <v>2.2160000000000002</v>
      </c>
      <c r="J11" s="9">
        <v>397.37</v>
      </c>
      <c r="K11" s="9">
        <v>354.45</v>
      </c>
      <c r="L11" s="9">
        <v>392.22</v>
      </c>
      <c r="M11" s="9">
        <v>143.91</v>
      </c>
      <c r="N11">
        <v>1</v>
      </c>
      <c r="O11" t="str">
        <f t="shared" si="0"/>
        <v>2024-03</v>
      </c>
    </row>
    <row r="12" spans="1:15" ht="20" customHeight="1">
      <c r="A12" s="8">
        <v>45362</v>
      </c>
      <c r="B12" s="9">
        <v>580.96</v>
      </c>
      <c r="C12" s="9">
        <v>546.23</v>
      </c>
      <c r="D12" s="9">
        <v>118.4</v>
      </c>
      <c r="E12" s="9">
        <v>275.86</v>
      </c>
      <c r="F12" s="9">
        <v>382.31</v>
      </c>
      <c r="G12" s="10">
        <v>20.529</v>
      </c>
      <c r="H12" s="10">
        <v>19.213999999999999</v>
      </c>
      <c r="I12" s="10">
        <v>2.2330000000000001</v>
      </c>
      <c r="J12" s="9">
        <v>385.38</v>
      </c>
      <c r="K12" s="9">
        <v>364.2</v>
      </c>
      <c r="L12" s="9">
        <v>382.83</v>
      </c>
      <c r="M12" s="9">
        <v>164.12</v>
      </c>
      <c r="N12">
        <v>1</v>
      </c>
      <c r="O12" t="str">
        <f t="shared" si="0"/>
        <v>2024-03</v>
      </c>
    </row>
    <row r="13" spans="1:15" ht="20" customHeight="1">
      <c r="A13" s="8">
        <v>45369</v>
      </c>
      <c r="B13" s="9">
        <v>557.17999999999995</v>
      </c>
      <c r="C13" s="9">
        <v>545.98</v>
      </c>
      <c r="D13" s="9">
        <v>122.6</v>
      </c>
      <c r="E13" s="9">
        <v>259.44</v>
      </c>
      <c r="F13" s="9">
        <v>377.74</v>
      </c>
      <c r="G13" s="10">
        <v>20.43</v>
      </c>
      <c r="H13" s="10">
        <v>19.577999999999999</v>
      </c>
      <c r="I13" s="10">
        <v>2.2610000000000001</v>
      </c>
      <c r="J13" s="9">
        <v>383.88</v>
      </c>
      <c r="K13" s="9">
        <v>360.64</v>
      </c>
      <c r="L13" s="9">
        <v>381.09</v>
      </c>
      <c r="M13" s="9">
        <v>142.09</v>
      </c>
      <c r="N13">
        <v>1</v>
      </c>
      <c r="O13" t="str">
        <f t="shared" si="0"/>
        <v>2024-03</v>
      </c>
    </row>
    <row r="14" spans="1:15" ht="20" customHeight="1">
      <c r="A14" s="8">
        <v>45376</v>
      </c>
      <c r="B14" s="9">
        <v>571.97</v>
      </c>
      <c r="C14" s="9">
        <v>531.95000000000005</v>
      </c>
      <c r="D14" s="9">
        <v>120.28</v>
      </c>
      <c r="E14" s="9">
        <v>278.20999999999998</v>
      </c>
      <c r="F14" s="9">
        <v>393.02</v>
      </c>
      <c r="G14" s="10">
        <v>20.581</v>
      </c>
      <c r="H14" s="10">
        <v>19.332999999999998</v>
      </c>
      <c r="I14" s="10">
        <v>2.2759999999999998</v>
      </c>
      <c r="J14" s="9">
        <v>389.55</v>
      </c>
      <c r="K14" s="9">
        <v>372.56</v>
      </c>
      <c r="L14" s="9">
        <v>387.52</v>
      </c>
      <c r="M14" s="9">
        <v>150.44999999999999</v>
      </c>
      <c r="N14">
        <v>1</v>
      </c>
      <c r="O14" t="str">
        <f t="shared" si="0"/>
        <v>2024-03</v>
      </c>
    </row>
    <row r="15" spans="1:15" ht="20" customHeight="1">
      <c r="A15" s="8">
        <v>45383</v>
      </c>
      <c r="B15" s="9">
        <v>575.09</v>
      </c>
      <c r="C15" s="9">
        <v>558.32000000000005</v>
      </c>
      <c r="D15" s="9">
        <v>116.07</v>
      </c>
      <c r="E15" s="9">
        <v>263.42</v>
      </c>
      <c r="F15" s="9">
        <v>385.99</v>
      </c>
      <c r="G15" s="10">
        <v>20.501999999999999</v>
      </c>
      <c r="H15" s="10">
        <v>19.524999999999999</v>
      </c>
      <c r="I15" s="10">
        <v>2.306</v>
      </c>
      <c r="J15" s="9">
        <v>375.42</v>
      </c>
      <c r="K15" s="9">
        <v>367.07</v>
      </c>
      <c r="L15" s="9">
        <v>374.42</v>
      </c>
      <c r="M15" s="9">
        <v>166.67</v>
      </c>
      <c r="N15">
        <v>1</v>
      </c>
      <c r="O15" t="str">
        <f t="shared" si="0"/>
        <v>2024-04</v>
      </c>
    </row>
    <row r="16" spans="1:15" ht="20" customHeight="1">
      <c r="A16" s="8">
        <v>45390</v>
      </c>
      <c r="B16" s="9">
        <v>576.23</v>
      </c>
      <c r="C16" s="9">
        <v>536.76</v>
      </c>
      <c r="D16" s="9">
        <v>112.47</v>
      </c>
      <c r="E16" s="9">
        <v>253.54</v>
      </c>
      <c r="F16" s="9">
        <v>368.61</v>
      </c>
      <c r="G16" s="10">
        <v>20.317</v>
      </c>
      <c r="H16" s="10">
        <v>19.745999999999999</v>
      </c>
      <c r="I16" s="10">
        <v>2.2879999999999998</v>
      </c>
      <c r="J16" s="9">
        <v>364.73</v>
      </c>
      <c r="K16" s="9">
        <v>353.51</v>
      </c>
      <c r="L16" s="9">
        <v>363.38</v>
      </c>
      <c r="M16" s="9">
        <v>178.85</v>
      </c>
      <c r="N16">
        <v>1</v>
      </c>
      <c r="O16" t="str">
        <f t="shared" si="0"/>
        <v>2024-04</v>
      </c>
    </row>
    <row r="17" spans="1:15" ht="20" customHeight="1">
      <c r="A17" s="8">
        <v>45397</v>
      </c>
      <c r="B17" s="9">
        <v>583.04999999999995</v>
      </c>
      <c r="C17" s="9">
        <v>539.76</v>
      </c>
      <c r="D17" s="9">
        <v>114.88</v>
      </c>
      <c r="E17" s="9">
        <v>255.03</v>
      </c>
      <c r="F17" s="9">
        <v>378.02</v>
      </c>
      <c r="G17" s="10">
        <v>20.606000000000002</v>
      </c>
      <c r="H17" s="10">
        <v>19.497</v>
      </c>
      <c r="I17" s="10">
        <v>2.3210000000000002</v>
      </c>
      <c r="J17" s="9">
        <v>369.32</v>
      </c>
      <c r="K17" s="9">
        <v>360.85</v>
      </c>
      <c r="L17" s="9">
        <v>368.3</v>
      </c>
      <c r="M17" s="9">
        <v>180.74</v>
      </c>
      <c r="N17">
        <v>1</v>
      </c>
      <c r="O17" t="str">
        <f t="shared" si="0"/>
        <v>2024-04</v>
      </c>
    </row>
    <row r="18" spans="1:15" ht="20" customHeight="1">
      <c r="A18" s="8">
        <v>45404</v>
      </c>
      <c r="B18" s="9">
        <v>579.61</v>
      </c>
      <c r="C18" s="9">
        <v>535.99</v>
      </c>
      <c r="D18" s="9">
        <v>115.28</v>
      </c>
      <c r="E18" s="9">
        <v>228.77</v>
      </c>
      <c r="F18" s="9">
        <v>371.37</v>
      </c>
      <c r="G18" s="10">
        <v>20.64</v>
      </c>
      <c r="H18" s="10">
        <v>19.738</v>
      </c>
      <c r="I18" s="10">
        <v>2.339</v>
      </c>
      <c r="J18" s="9">
        <v>356.84</v>
      </c>
      <c r="K18" s="9">
        <v>355.67</v>
      </c>
      <c r="L18" s="9">
        <v>356.7</v>
      </c>
      <c r="M18" s="9">
        <v>188.92</v>
      </c>
      <c r="N18">
        <v>1</v>
      </c>
      <c r="O18" t="str">
        <f t="shared" si="0"/>
        <v>2024-04</v>
      </c>
    </row>
    <row r="19" spans="1:15" ht="20" customHeight="1">
      <c r="A19" s="8">
        <v>45411</v>
      </c>
      <c r="B19" s="9">
        <v>568.46</v>
      </c>
      <c r="C19" s="9">
        <v>547.16</v>
      </c>
      <c r="D19" s="9">
        <v>117.1</v>
      </c>
      <c r="E19" s="9">
        <v>226.88</v>
      </c>
      <c r="F19" s="9">
        <v>378.04</v>
      </c>
      <c r="G19" s="10">
        <v>20.138000000000002</v>
      </c>
      <c r="H19" s="10">
        <v>20.006</v>
      </c>
      <c r="I19" s="10">
        <v>2.4670000000000001</v>
      </c>
      <c r="J19" s="9">
        <v>358.8</v>
      </c>
      <c r="K19" s="9">
        <v>360.87</v>
      </c>
      <c r="L19" s="9">
        <v>359.04</v>
      </c>
      <c r="M19" s="9">
        <v>175.42</v>
      </c>
      <c r="N19">
        <v>1</v>
      </c>
      <c r="O19" t="str">
        <f t="shared" si="0"/>
        <v>2024-04</v>
      </c>
    </row>
    <row r="20" spans="1:15" ht="20" customHeight="1">
      <c r="A20" s="8">
        <v>45418</v>
      </c>
      <c r="B20" s="9">
        <v>572.53</v>
      </c>
      <c r="C20" s="9">
        <v>535.09</v>
      </c>
      <c r="D20" s="9">
        <v>118.48</v>
      </c>
      <c r="E20" s="9">
        <v>224.28</v>
      </c>
      <c r="F20" s="9">
        <v>378.17</v>
      </c>
      <c r="G20" s="10">
        <v>20.599</v>
      </c>
      <c r="H20" s="10">
        <v>19.52</v>
      </c>
      <c r="I20" s="10">
        <v>2.335</v>
      </c>
      <c r="J20" s="9">
        <v>359.7</v>
      </c>
      <c r="K20" s="9">
        <v>360.97</v>
      </c>
      <c r="L20" s="9">
        <v>359.86</v>
      </c>
      <c r="M20" s="9">
        <v>178.67</v>
      </c>
      <c r="N20">
        <v>1</v>
      </c>
      <c r="O20" t="str">
        <f t="shared" si="0"/>
        <v>2024-05</v>
      </c>
    </row>
    <row r="21" spans="1:15" ht="20" customHeight="1">
      <c r="A21" s="8">
        <v>45425</v>
      </c>
      <c r="B21" s="9">
        <v>573.04999999999995</v>
      </c>
      <c r="C21" s="9">
        <v>544.34</v>
      </c>
      <c r="D21" s="9">
        <v>121.59</v>
      </c>
      <c r="E21" s="9">
        <v>235.84</v>
      </c>
      <c r="F21" s="9">
        <v>374.41</v>
      </c>
      <c r="G21" s="10">
        <v>19.73</v>
      </c>
      <c r="H21" s="10">
        <v>19.263000000000002</v>
      </c>
      <c r="I21" s="10">
        <v>2.327</v>
      </c>
      <c r="J21" s="9">
        <v>370.47</v>
      </c>
      <c r="K21" s="9">
        <v>358.04</v>
      </c>
      <c r="L21" s="9">
        <v>368.98</v>
      </c>
      <c r="M21" s="9">
        <v>170.08</v>
      </c>
      <c r="N21">
        <v>1</v>
      </c>
      <c r="O21" t="str">
        <f t="shared" si="0"/>
        <v>2024-05</v>
      </c>
    </row>
    <row r="22" spans="1:15" ht="20" customHeight="1">
      <c r="A22" s="8">
        <v>45432</v>
      </c>
      <c r="B22" s="9">
        <v>559.13</v>
      </c>
      <c r="C22" s="9">
        <v>542.41999999999996</v>
      </c>
      <c r="D22" s="9">
        <v>107.43</v>
      </c>
      <c r="E22" s="9">
        <v>221.93</v>
      </c>
      <c r="F22" s="9">
        <v>368.39</v>
      </c>
      <c r="G22" s="10">
        <v>19.736000000000001</v>
      </c>
      <c r="H22" s="10">
        <v>18.952999999999999</v>
      </c>
      <c r="I22" s="10">
        <v>2.4289999999999998</v>
      </c>
      <c r="J22" s="9">
        <v>340.85</v>
      </c>
      <c r="K22" s="9">
        <v>353.34</v>
      </c>
      <c r="L22" s="9">
        <v>342.35</v>
      </c>
      <c r="M22" s="9">
        <v>182.78</v>
      </c>
      <c r="N22">
        <v>1</v>
      </c>
      <c r="O22" t="str">
        <f t="shared" si="0"/>
        <v>2024-05</v>
      </c>
    </row>
    <row r="23" spans="1:15" ht="20" customHeight="1">
      <c r="A23" s="8">
        <v>45439</v>
      </c>
      <c r="B23" s="9">
        <v>566.64</v>
      </c>
      <c r="C23" s="9">
        <v>529.54999999999995</v>
      </c>
      <c r="D23" s="9">
        <v>113.02</v>
      </c>
      <c r="E23" s="9">
        <v>211.35</v>
      </c>
      <c r="F23" s="9">
        <v>363.65</v>
      </c>
      <c r="G23" s="10">
        <v>20.437999999999999</v>
      </c>
      <c r="H23" s="10">
        <v>18.920999999999999</v>
      </c>
      <c r="I23" s="10">
        <v>2.4209999999999998</v>
      </c>
      <c r="J23" s="9">
        <v>344.51</v>
      </c>
      <c r="K23" s="9">
        <v>349.65</v>
      </c>
      <c r="L23" s="9">
        <v>345.13</v>
      </c>
      <c r="M23" s="9">
        <v>187.52</v>
      </c>
      <c r="N23">
        <v>1</v>
      </c>
      <c r="O23" t="str">
        <f t="shared" si="0"/>
        <v>2024-05</v>
      </c>
    </row>
    <row r="24" spans="1:15" ht="20" customHeight="1">
      <c r="A24" s="8">
        <v>45446</v>
      </c>
      <c r="B24" s="9">
        <v>547.42999999999995</v>
      </c>
      <c r="C24" s="9">
        <v>543.92999999999995</v>
      </c>
      <c r="D24" s="9">
        <v>116.8</v>
      </c>
      <c r="E24" s="9">
        <v>207.4</v>
      </c>
      <c r="F24" s="9">
        <v>367.68</v>
      </c>
      <c r="G24" s="10">
        <v>19.753</v>
      </c>
      <c r="H24" s="10">
        <v>18.558</v>
      </c>
      <c r="I24" s="10">
        <v>2.379</v>
      </c>
      <c r="J24" s="9">
        <v>348.57</v>
      </c>
      <c r="K24" s="9">
        <v>352.79</v>
      </c>
      <c r="L24" s="9">
        <v>349.08</v>
      </c>
      <c r="M24" s="9">
        <v>164.35</v>
      </c>
      <c r="N24">
        <v>1</v>
      </c>
      <c r="O24" t="str">
        <f t="shared" si="0"/>
        <v>2024-06</v>
      </c>
    </row>
    <row r="25" spans="1:15" ht="20" customHeight="1">
      <c r="A25" s="8">
        <v>45453</v>
      </c>
      <c r="B25" s="9">
        <v>552.39</v>
      </c>
      <c r="C25" s="9">
        <v>537.34</v>
      </c>
      <c r="D25" s="9">
        <v>113.22</v>
      </c>
      <c r="E25" s="9">
        <v>217.44</v>
      </c>
      <c r="F25" s="9">
        <v>363.08</v>
      </c>
      <c r="G25" s="10">
        <v>19.933</v>
      </c>
      <c r="H25" s="10">
        <v>19.238</v>
      </c>
      <c r="I25" s="10">
        <v>2.323</v>
      </c>
      <c r="J25" s="9">
        <v>347.87</v>
      </c>
      <c r="K25" s="9">
        <v>349.21</v>
      </c>
      <c r="L25" s="9">
        <v>348.03</v>
      </c>
      <c r="M25" s="9">
        <v>170.36</v>
      </c>
      <c r="N25">
        <v>1</v>
      </c>
      <c r="O25" t="str">
        <f t="shared" si="0"/>
        <v>2024-06</v>
      </c>
    </row>
    <row r="26" spans="1:15" ht="20" customHeight="1">
      <c r="A26" s="8">
        <v>45460</v>
      </c>
      <c r="B26" s="9">
        <v>551.55999999999995</v>
      </c>
      <c r="C26" s="9">
        <v>538.82000000000005</v>
      </c>
      <c r="D26" s="9">
        <v>111.54</v>
      </c>
      <c r="E26" s="9">
        <v>208.53</v>
      </c>
      <c r="F26" s="9">
        <v>370.04</v>
      </c>
      <c r="G26" s="10">
        <v>19.52</v>
      </c>
      <c r="H26" s="10">
        <v>18.861000000000001</v>
      </c>
      <c r="I26" s="10">
        <v>2.3769999999999998</v>
      </c>
      <c r="J26" s="9">
        <v>340.73</v>
      </c>
      <c r="K26" s="9">
        <v>354.63</v>
      </c>
      <c r="L26" s="9">
        <v>342.4</v>
      </c>
      <c r="M26" s="9">
        <v>175.16</v>
      </c>
      <c r="N26">
        <v>1</v>
      </c>
      <c r="O26" t="str">
        <f t="shared" si="0"/>
        <v>2024-06</v>
      </c>
    </row>
    <row r="27" spans="1:15" ht="20" customHeight="1">
      <c r="A27" s="8">
        <v>45467</v>
      </c>
      <c r="B27" s="9">
        <v>557.54</v>
      </c>
      <c r="C27" s="9">
        <v>532.08000000000004</v>
      </c>
      <c r="D27" s="9">
        <v>107</v>
      </c>
      <c r="E27" s="9">
        <v>199.88</v>
      </c>
      <c r="F27" s="9">
        <v>356.17</v>
      </c>
      <c r="G27" s="10">
        <v>19.628</v>
      </c>
      <c r="H27" s="10">
        <v>18.765999999999998</v>
      </c>
      <c r="I27" s="10">
        <v>2.3260000000000001</v>
      </c>
      <c r="J27" s="9">
        <v>329.14</v>
      </c>
      <c r="K27" s="9">
        <v>343.82</v>
      </c>
      <c r="L27" s="9">
        <v>330.9</v>
      </c>
      <c r="M27" s="9">
        <v>192.64</v>
      </c>
      <c r="N27">
        <v>1</v>
      </c>
      <c r="O27" t="str">
        <f t="shared" si="0"/>
        <v>2024-06</v>
      </c>
    </row>
    <row r="28" spans="1:15" ht="20" customHeight="1">
      <c r="A28" s="8">
        <v>45474</v>
      </c>
      <c r="B28" s="9">
        <v>558.27</v>
      </c>
      <c r="C28" s="9">
        <v>521.15</v>
      </c>
      <c r="D28" s="9">
        <v>101.91</v>
      </c>
      <c r="E28" s="9">
        <v>208.97</v>
      </c>
      <c r="F28" s="9">
        <v>370.97</v>
      </c>
      <c r="G28" s="10">
        <v>19.308</v>
      </c>
      <c r="H28" s="10">
        <v>18.745999999999999</v>
      </c>
      <c r="I28" s="10">
        <v>2.3580000000000001</v>
      </c>
      <c r="J28" s="9">
        <v>325.54000000000002</v>
      </c>
      <c r="K28" s="9">
        <v>355.35</v>
      </c>
      <c r="L28" s="9">
        <v>329.12</v>
      </c>
      <c r="M28" s="9">
        <v>195.16</v>
      </c>
      <c r="N28">
        <v>1</v>
      </c>
      <c r="O28" t="str">
        <f t="shared" si="0"/>
        <v>2024-07</v>
      </c>
    </row>
    <row r="29" spans="1:15" ht="20" customHeight="1">
      <c r="A29" s="8">
        <v>45481</v>
      </c>
      <c r="B29" s="9">
        <v>540.95000000000005</v>
      </c>
      <c r="C29" s="9">
        <v>527.37</v>
      </c>
      <c r="D29" s="9">
        <v>107.54</v>
      </c>
      <c r="E29" s="9">
        <v>197.83</v>
      </c>
      <c r="F29" s="9">
        <v>360.6</v>
      </c>
      <c r="G29" s="10">
        <v>19.105</v>
      </c>
      <c r="H29" s="10">
        <v>18.265000000000001</v>
      </c>
      <c r="I29" s="10">
        <v>2.391</v>
      </c>
      <c r="J29" s="9">
        <v>328.98</v>
      </c>
      <c r="K29" s="9">
        <v>347.27</v>
      </c>
      <c r="L29" s="9">
        <v>331.17</v>
      </c>
      <c r="M29" s="9">
        <v>175.77</v>
      </c>
      <c r="N29">
        <v>1</v>
      </c>
      <c r="O29" t="str">
        <f t="shared" si="0"/>
        <v>2024-07</v>
      </c>
    </row>
    <row r="30" spans="1:15" ht="20" customHeight="1">
      <c r="A30" s="8">
        <v>45488</v>
      </c>
      <c r="B30" s="9">
        <v>543.66999999999996</v>
      </c>
      <c r="C30" s="9">
        <v>518.89</v>
      </c>
      <c r="D30" s="9">
        <v>104.35</v>
      </c>
      <c r="E30" s="9">
        <v>195.46</v>
      </c>
      <c r="F30" s="9">
        <v>353.3</v>
      </c>
      <c r="G30" s="10">
        <v>19.574999999999999</v>
      </c>
      <c r="H30" s="10">
        <v>18.707999999999998</v>
      </c>
      <c r="I30" s="10">
        <v>2.4079999999999999</v>
      </c>
      <c r="J30" s="9">
        <v>322.69</v>
      </c>
      <c r="K30" s="9">
        <v>341.57</v>
      </c>
      <c r="L30" s="9">
        <v>324.95999999999998</v>
      </c>
      <c r="M30" s="9">
        <v>184.71</v>
      </c>
      <c r="N30">
        <v>1</v>
      </c>
      <c r="O30" t="str">
        <f t="shared" si="0"/>
        <v>2024-07</v>
      </c>
    </row>
    <row r="31" spans="1:15">
      <c r="A31" s="8">
        <v>45495</v>
      </c>
      <c r="B31" s="9">
        <v>538.58000000000004</v>
      </c>
      <c r="C31" s="9">
        <v>514.9</v>
      </c>
      <c r="D31" s="9">
        <v>98.55</v>
      </c>
      <c r="E31" s="9">
        <v>197.09</v>
      </c>
      <c r="F31" s="9">
        <v>348.41</v>
      </c>
      <c r="G31" s="10">
        <v>18.956</v>
      </c>
      <c r="H31" s="10">
        <v>18.501999999999999</v>
      </c>
      <c r="I31" s="10">
        <v>2.2799999999999998</v>
      </c>
      <c r="J31" s="9">
        <v>314.22000000000003</v>
      </c>
      <c r="K31" s="9">
        <v>337.76</v>
      </c>
      <c r="L31" s="9">
        <v>317.05</v>
      </c>
      <c r="M31" s="9">
        <v>187.53</v>
      </c>
      <c r="N31">
        <v>1</v>
      </c>
      <c r="O31" t="str">
        <f t="shared" si="0"/>
        <v>2024-07</v>
      </c>
    </row>
    <row r="32" spans="1:15">
      <c r="A32" s="8">
        <v>45502</v>
      </c>
      <c r="B32" s="9">
        <v>537.09</v>
      </c>
      <c r="C32" s="9">
        <v>510.43</v>
      </c>
      <c r="D32" s="9">
        <v>98.64</v>
      </c>
      <c r="E32" s="9">
        <v>198.69</v>
      </c>
      <c r="F32" s="9">
        <v>343.69</v>
      </c>
      <c r="G32" s="10">
        <v>19.196999999999999</v>
      </c>
      <c r="H32" s="10">
        <v>18.215</v>
      </c>
      <c r="I32" s="10">
        <v>2.444</v>
      </c>
      <c r="J32" s="9">
        <v>315.17</v>
      </c>
      <c r="K32" s="9">
        <v>334.07</v>
      </c>
      <c r="L32" s="9">
        <v>317.43</v>
      </c>
      <c r="M32" s="9">
        <v>185.65</v>
      </c>
      <c r="N32">
        <v>1</v>
      </c>
      <c r="O32" t="str">
        <f t="shared" si="0"/>
        <v>2024-07</v>
      </c>
    </row>
    <row r="33" spans="1:15">
      <c r="A33" s="8">
        <v>45509</v>
      </c>
      <c r="B33" s="9">
        <v>536.29</v>
      </c>
      <c r="C33" s="9">
        <v>508.62</v>
      </c>
      <c r="D33" s="9">
        <v>99.09</v>
      </c>
      <c r="E33" s="9">
        <v>188.73</v>
      </c>
      <c r="F33" s="9">
        <v>360.41</v>
      </c>
      <c r="G33" s="10">
        <v>18.968</v>
      </c>
      <c r="H33" s="10">
        <v>18.396999999999998</v>
      </c>
      <c r="I33" s="10">
        <v>2.282</v>
      </c>
      <c r="J33" s="9">
        <v>310.91000000000003</v>
      </c>
      <c r="K33" s="9">
        <v>347.12</v>
      </c>
      <c r="L33" s="9">
        <v>315.26</v>
      </c>
      <c r="M33" s="9">
        <v>187.03</v>
      </c>
      <c r="N33">
        <v>1</v>
      </c>
      <c r="O33" t="str">
        <f t="shared" si="0"/>
        <v>2024-08</v>
      </c>
    </row>
    <row r="34" spans="1:15">
      <c r="A34" s="8">
        <v>45516</v>
      </c>
      <c r="B34" s="9">
        <v>537.36</v>
      </c>
      <c r="C34" s="9">
        <v>497.24</v>
      </c>
      <c r="D34" s="9">
        <v>100.72</v>
      </c>
      <c r="E34" s="9">
        <v>185.29</v>
      </c>
      <c r="F34" s="9">
        <v>340.07</v>
      </c>
      <c r="G34" s="10">
        <v>18.652000000000001</v>
      </c>
      <c r="H34" s="10">
        <v>17.805</v>
      </c>
      <c r="I34" s="10">
        <v>2.306</v>
      </c>
      <c r="J34" s="9">
        <v>311.79000000000002</v>
      </c>
      <c r="K34" s="9">
        <v>331.25</v>
      </c>
      <c r="L34" s="9">
        <v>314.13</v>
      </c>
      <c r="M34" s="9">
        <v>189.23</v>
      </c>
      <c r="N34">
        <v>1</v>
      </c>
      <c r="O34" t="str">
        <f t="shared" ref="O34:O65" si="1">TEXT(A34,"yyyy-mm")</f>
        <v>2024-08</v>
      </c>
    </row>
    <row r="35" spans="1:15">
      <c r="A35" s="8">
        <v>45523</v>
      </c>
      <c r="B35" s="9">
        <v>529.04</v>
      </c>
      <c r="C35" s="9">
        <v>500.76</v>
      </c>
      <c r="D35" s="9">
        <v>93.28</v>
      </c>
      <c r="E35" s="9">
        <v>191.98</v>
      </c>
      <c r="F35" s="9">
        <v>340.48</v>
      </c>
      <c r="G35" s="10">
        <v>18.494</v>
      </c>
      <c r="H35" s="10">
        <v>18.228999999999999</v>
      </c>
      <c r="I35" s="10">
        <v>2.3050000000000002</v>
      </c>
      <c r="J35" s="9">
        <v>303.24</v>
      </c>
      <c r="K35" s="9">
        <v>331.57</v>
      </c>
      <c r="L35" s="9">
        <v>306.64</v>
      </c>
      <c r="M35" s="9">
        <v>188.4</v>
      </c>
      <c r="N35">
        <v>1</v>
      </c>
      <c r="O35" t="str">
        <f t="shared" si="1"/>
        <v>2024-08</v>
      </c>
    </row>
    <row r="36" spans="1:15">
      <c r="A36" s="8">
        <v>45530</v>
      </c>
      <c r="B36" s="9">
        <v>542.17999999999995</v>
      </c>
      <c r="C36" s="9">
        <v>501.28</v>
      </c>
      <c r="D36" s="9">
        <v>88.35</v>
      </c>
      <c r="E36" s="9">
        <v>196.1</v>
      </c>
      <c r="F36" s="9">
        <v>339.09</v>
      </c>
      <c r="G36" s="10">
        <v>18.797999999999998</v>
      </c>
      <c r="H36" s="10">
        <v>18.033000000000001</v>
      </c>
      <c r="I36" s="10">
        <v>2.3690000000000002</v>
      </c>
      <c r="J36" s="9">
        <v>297.41000000000003</v>
      </c>
      <c r="K36" s="9">
        <v>330.49</v>
      </c>
      <c r="L36" s="9">
        <v>301.38</v>
      </c>
      <c r="M36" s="9">
        <v>206.81</v>
      </c>
      <c r="N36">
        <v>1</v>
      </c>
      <c r="O36" t="str">
        <f t="shared" si="1"/>
        <v>2024-08</v>
      </c>
    </row>
    <row r="37" spans="1:15">
      <c r="A37" s="8">
        <v>45537</v>
      </c>
      <c r="B37" s="9">
        <v>507.64</v>
      </c>
      <c r="C37" s="9">
        <v>492.92</v>
      </c>
      <c r="D37" s="9">
        <v>86.69</v>
      </c>
      <c r="E37" s="9">
        <v>188.47</v>
      </c>
      <c r="F37" s="9">
        <v>338.47</v>
      </c>
      <c r="G37" s="10">
        <v>18.858000000000001</v>
      </c>
      <c r="H37" s="10">
        <v>17.844999999999999</v>
      </c>
      <c r="I37" s="10">
        <v>2.3929999999999998</v>
      </c>
      <c r="J37" s="9">
        <v>290.94</v>
      </c>
      <c r="K37" s="9">
        <v>330</v>
      </c>
      <c r="L37" s="9">
        <v>295.63</v>
      </c>
      <c r="M37" s="9">
        <v>178.01</v>
      </c>
      <c r="N37">
        <v>1</v>
      </c>
      <c r="O37" t="str">
        <f t="shared" si="1"/>
        <v>2024-09</v>
      </c>
    </row>
    <row r="38" spans="1:15">
      <c r="A38" s="8">
        <v>45544</v>
      </c>
      <c r="B38" s="9">
        <v>534.34</v>
      </c>
      <c r="C38" s="9">
        <v>496.17</v>
      </c>
      <c r="D38" s="9">
        <v>88.75</v>
      </c>
      <c r="E38" s="9">
        <v>191.22</v>
      </c>
      <c r="F38" s="9">
        <v>337.81</v>
      </c>
      <c r="G38" s="10">
        <v>18.199000000000002</v>
      </c>
      <c r="H38" s="10">
        <v>17.600000000000001</v>
      </c>
      <c r="I38" s="10">
        <v>2.391</v>
      </c>
      <c r="J38" s="9">
        <v>295.61</v>
      </c>
      <c r="K38" s="9">
        <v>329.49</v>
      </c>
      <c r="L38" s="9">
        <v>299.67</v>
      </c>
      <c r="M38" s="9">
        <v>200.67</v>
      </c>
      <c r="N38">
        <v>1</v>
      </c>
      <c r="O38" t="str">
        <f t="shared" si="1"/>
        <v>2024-09</v>
      </c>
    </row>
    <row r="39" spans="1:15">
      <c r="A39" s="8">
        <v>45551</v>
      </c>
      <c r="B39" s="9">
        <v>523.36</v>
      </c>
      <c r="C39" s="9">
        <v>474.12</v>
      </c>
      <c r="D39" s="9">
        <v>97.41</v>
      </c>
      <c r="E39" s="9">
        <v>205.91</v>
      </c>
      <c r="F39" s="9">
        <v>335.23</v>
      </c>
      <c r="G39" s="10">
        <v>18.555</v>
      </c>
      <c r="H39" s="10">
        <v>17.704000000000001</v>
      </c>
      <c r="I39" s="10">
        <v>2.323</v>
      </c>
      <c r="J39" s="9">
        <v>316.82</v>
      </c>
      <c r="K39" s="9">
        <v>327.48</v>
      </c>
      <c r="L39" s="9">
        <v>318.10000000000002</v>
      </c>
      <c r="M39" s="9">
        <v>171.26</v>
      </c>
      <c r="N39">
        <v>1</v>
      </c>
      <c r="O39" t="str">
        <f t="shared" si="1"/>
        <v>2024-09</v>
      </c>
    </row>
    <row r="40" spans="1:15">
      <c r="A40" s="8">
        <v>45558</v>
      </c>
      <c r="B40" s="9">
        <v>528.25</v>
      </c>
      <c r="C40" s="9">
        <v>484.31</v>
      </c>
      <c r="D40" s="9">
        <v>96.8</v>
      </c>
      <c r="E40" s="9">
        <v>204.75</v>
      </c>
      <c r="F40" s="9">
        <v>338.18</v>
      </c>
      <c r="G40" s="10">
        <v>18.321999999999999</v>
      </c>
      <c r="H40" s="10">
        <v>17.835999999999999</v>
      </c>
      <c r="I40" s="10">
        <v>2.3570000000000002</v>
      </c>
      <c r="J40" s="9">
        <v>315.25</v>
      </c>
      <c r="K40" s="9">
        <v>329.78</v>
      </c>
      <c r="L40" s="9">
        <v>317</v>
      </c>
      <c r="M40" s="9">
        <v>177.25</v>
      </c>
      <c r="N40">
        <v>1</v>
      </c>
      <c r="O40" t="str">
        <f t="shared" si="1"/>
        <v>2024-09</v>
      </c>
    </row>
    <row r="41" spans="1:15">
      <c r="A41" s="8">
        <v>45565</v>
      </c>
      <c r="B41" s="9">
        <v>536.66999999999996</v>
      </c>
      <c r="C41" s="9">
        <v>476.28</v>
      </c>
      <c r="D41" s="9">
        <v>97.36</v>
      </c>
      <c r="E41" s="9">
        <v>211.81</v>
      </c>
      <c r="F41" s="9">
        <v>339.43</v>
      </c>
      <c r="G41" s="10">
        <v>18.495999999999999</v>
      </c>
      <c r="H41" s="10">
        <v>17.975000000000001</v>
      </c>
      <c r="I41" s="10">
        <v>2.399</v>
      </c>
      <c r="J41" s="9">
        <v>319.67</v>
      </c>
      <c r="K41" s="9">
        <v>330.75</v>
      </c>
      <c r="L41" s="9">
        <v>321</v>
      </c>
      <c r="M41" s="9">
        <v>181.66</v>
      </c>
      <c r="N41">
        <v>1</v>
      </c>
      <c r="O41" t="str">
        <f t="shared" si="1"/>
        <v>2024-09</v>
      </c>
    </row>
    <row r="42" spans="1:15">
      <c r="A42" s="8">
        <v>45572</v>
      </c>
      <c r="B42" s="9">
        <v>526.35</v>
      </c>
      <c r="C42" s="9">
        <v>470.36</v>
      </c>
      <c r="D42" s="9">
        <v>94.48</v>
      </c>
      <c r="E42" s="9">
        <v>205.11</v>
      </c>
      <c r="F42" s="9">
        <v>324.77999999999997</v>
      </c>
      <c r="G42" s="10">
        <v>18.498999999999999</v>
      </c>
      <c r="H42" s="10">
        <v>17.809000000000001</v>
      </c>
      <c r="I42" s="10">
        <v>2.3980000000000001</v>
      </c>
      <c r="J42" s="9">
        <v>311.72000000000003</v>
      </c>
      <c r="K42" s="9">
        <v>319.33</v>
      </c>
      <c r="L42" s="9">
        <v>312.64</v>
      </c>
      <c r="M42" s="9">
        <v>179.72</v>
      </c>
      <c r="N42">
        <v>1</v>
      </c>
      <c r="O42" t="str">
        <f t="shared" si="1"/>
        <v>2024-10</v>
      </c>
    </row>
    <row r="43" spans="1:15">
      <c r="A43" s="8">
        <v>45579</v>
      </c>
      <c r="B43" s="9">
        <v>513.24</v>
      </c>
      <c r="C43" s="9">
        <v>498.8</v>
      </c>
      <c r="D43" s="9">
        <v>92.83</v>
      </c>
      <c r="E43" s="9">
        <v>203.55</v>
      </c>
      <c r="F43" s="9">
        <v>334.05</v>
      </c>
      <c r="G43" s="10">
        <v>18.777999999999999</v>
      </c>
      <c r="H43" s="10">
        <v>17.762</v>
      </c>
      <c r="I43" s="10">
        <v>2.4969999999999999</v>
      </c>
      <c r="J43" s="9">
        <v>308.3</v>
      </c>
      <c r="K43" s="9">
        <v>326.56</v>
      </c>
      <c r="L43" s="9">
        <v>310.49</v>
      </c>
      <c r="M43" s="9">
        <v>168.75</v>
      </c>
      <c r="N43">
        <v>1</v>
      </c>
      <c r="O43" t="str">
        <f t="shared" si="1"/>
        <v>2024-10</v>
      </c>
    </row>
    <row r="44" spans="1:15">
      <c r="A44" s="8">
        <v>45586</v>
      </c>
      <c r="B44" s="9">
        <v>532.91999999999996</v>
      </c>
      <c r="C44" s="9">
        <v>476.57</v>
      </c>
      <c r="D44" s="9">
        <v>93.86</v>
      </c>
      <c r="E44" s="9">
        <v>222.21</v>
      </c>
      <c r="F44" s="9">
        <v>342.04</v>
      </c>
      <c r="G44" s="10">
        <v>18.431000000000001</v>
      </c>
      <c r="H44" s="10">
        <v>17.77</v>
      </c>
      <c r="I44" s="10">
        <v>2.44</v>
      </c>
      <c r="J44" s="9">
        <v>319.27999999999997</v>
      </c>
      <c r="K44" s="9">
        <v>332.79</v>
      </c>
      <c r="L44" s="9">
        <v>320.89999999999998</v>
      </c>
      <c r="M44" s="9">
        <v>178.02</v>
      </c>
      <c r="N44">
        <v>1</v>
      </c>
      <c r="O44" t="str">
        <f t="shared" si="1"/>
        <v>2024-10</v>
      </c>
    </row>
    <row r="45" spans="1:15">
      <c r="A45" s="8">
        <v>45593</v>
      </c>
      <c r="B45" s="9">
        <v>518.48</v>
      </c>
      <c r="C45" s="9">
        <v>479.24</v>
      </c>
      <c r="D45" s="9">
        <v>91.89</v>
      </c>
      <c r="E45" s="9">
        <v>219.71</v>
      </c>
      <c r="F45" s="9">
        <v>341.32</v>
      </c>
      <c r="G45" s="10">
        <v>18.588000000000001</v>
      </c>
      <c r="H45" s="10">
        <v>17.792999999999999</v>
      </c>
      <c r="I45" s="10">
        <v>2.37</v>
      </c>
      <c r="J45" s="9">
        <v>314.87</v>
      </c>
      <c r="K45" s="9">
        <v>332.23</v>
      </c>
      <c r="L45" s="9">
        <v>316.95</v>
      </c>
      <c r="M45" s="9">
        <v>167.52</v>
      </c>
      <c r="N45">
        <v>1</v>
      </c>
      <c r="O45" t="str">
        <f t="shared" si="1"/>
        <v>2024-10</v>
      </c>
    </row>
    <row r="46" spans="1:15">
      <c r="A46" s="8">
        <v>45600</v>
      </c>
      <c r="B46" s="9">
        <v>519.91999999999996</v>
      </c>
      <c r="C46" s="9">
        <v>469.51</v>
      </c>
      <c r="D46" s="9">
        <v>95.71</v>
      </c>
      <c r="E46" s="9">
        <v>228.83</v>
      </c>
      <c r="F46" s="9">
        <v>336.36</v>
      </c>
      <c r="G46" s="10">
        <v>18.616</v>
      </c>
      <c r="H46" s="10">
        <v>17.998999999999999</v>
      </c>
      <c r="I46" s="10">
        <v>2.4159999999999999</v>
      </c>
      <c r="J46" s="9">
        <v>325.55</v>
      </c>
      <c r="K46" s="9">
        <v>328.36</v>
      </c>
      <c r="L46" s="9">
        <v>325.89</v>
      </c>
      <c r="M46" s="9">
        <v>160.03</v>
      </c>
      <c r="N46">
        <v>1</v>
      </c>
      <c r="O46" t="str">
        <f t="shared" si="1"/>
        <v>2024-11</v>
      </c>
    </row>
    <row r="47" spans="1:15">
      <c r="A47" s="8">
        <v>45607</v>
      </c>
      <c r="B47" s="9">
        <v>528.32000000000005</v>
      </c>
      <c r="C47" s="9">
        <v>478.23</v>
      </c>
      <c r="D47" s="9">
        <v>90.88</v>
      </c>
      <c r="E47" s="9">
        <v>236.15</v>
      </c>
      <c r="F47" s="9">
        <v>335.86</v>
      </c>
      <c r="G47" s="10">
        <v>18.86</v>
      </c>
      <c r="H47" s="10">
        <v>17.716000000000001</v>
      </c>
      <c r="I47" s="10">
        <v>2.456</v>
      </c>
      <c r="J47" s="9">
        <v>321.48</v>
      </c>
      <c r="K47" s="9">
        <v>327.97</v>
      </c>
      <c r="L47" s="9">
        <v>322.26</v>
      </c>
      <c r="M47" s="9">
        <v>172.06</v>
      </c>
      <c r="N47">
        <v>1</v>
      </c>
      <c r="O47" t="str">
        <f t="shared" si="1"/>
        <v>2024-11</v>
      </c>
    </row>
    <row r="48" spans="1:15">
      <c r="A48" s="8">
        <v>45614</v>
      </c>
      <c r="B48" s="9">
        <v>524.83000000000004</v>
      </c>
      <c r="C48" s="9">
        <v>496.69</v>
      </c>
      <c r="D48" s="9">
        <v>95.9</v>
      </c>
      <c r="E48" s="9">
        <v>246.12</v>
      </c>
      <c r="F48" s="9">
        <v>350.22</v>
      </c>
      <c r="G48" s="10">
        <v>18.631</v>
      </c>
      <c r="H48" s="10">
        <v>17.652999999999999</v>
      </c>
      <c r="I48" s="10">
        <v>2.5289999999999999</v>
      </c>
      <c r="J48" s="9">
        <v>334.5</v>
      </c>
      <c r="K48" s="9">
        <v>339.17</v>
      </c>
      <c r="L48" s="9">
        <v>335.06</v>
      </c>
      <c r="M48" s="9">
        <v>155.77000000000001</v>
      </c>
      <c r="N48">
        <v>1</v>
      </c>
      <c r="O48" t="str">
        <f t="shared" si="1"/>
        <v>2024-11</v>
      </c>
    </row>
    <row r="49" spans="1:15">
      <c r="A49" s="8">
        <v>45621</v>
      </c>
      <c r="B49" s="9">
        <v>515.25</v>
      </c>
      <c r="C49" s="9">
        <v>497.52</v>
      </c>
      <c r="D49" s="9">
        <v>97.37</v>
      </c>
      <c r="E49" s="9">
        <v>227.81</v>
      </c>
      <c r="F49" s="9">
        <v>351.03</v>
      </c>
      <c r="G49" s="10">
        <v>18.690000000000001</v>
      </c>
      <c r="H49" s="10">
        <v>18.116</v>
      </c>
      <c r="I49" s="10">
        <v>2.6269999999999998</v>
      </c>
      <c r="J49" s="9">
        <v>327.7</v>
      </c>
      <c r="K49" s="9">
        <v>339.8</v>
      </c>
      <c r="L49" s="9">
        <v>329.16</v>
      </c>
      <c r="M49" s="9">
        <v>152.1</v>
      </c>
      <c r="N49">
        <v>1</v>
      </c>
      <c r="O49" t="str">
        <f t="shared" si="1"/>
        <v>2024-11</v>
      </c>
    </row>
    <row r="50" spans="1:15">
      <c r="A50" s="8">
        <v>45628</v>
      </c>
      <c r="B50" s="9">
        <v>517.38</v>
      </c>
      <c r="C50" s="9">
        <v>477.7</v>
      </c>
      <c r="D50" s="9">
        <v>95.11</v>
      </c>
      <c r="E50" s="9">
        <v>245.43</v>
      </c>
      <c r="F50" s="9">
        <v>339.92</v>
      </c>
      <c r="G50" s="10">
        <v>18.855</v>
      </c>
      <c r="H50" s="10">
        <v>17.98</v>
      </c>
      <c r="I50" s="10">
        <v>2.6829999999999998</v>
      </c>
      <c r="J50" s="9">
        <v>332.89</v>
      </c>
      <c r="K50" s="9">
        <v>331.13</v>
      </c>
      <c r="L50" s="9">
        <v>332.68</v>
      </c>
      <c r="M50" s="9">
        <v>150.69999999999999</v>
      </c>
      <c r="N50">
        <v>1</v>
      </c>
      <c r="O50" t="str">
        <f t="shared" si="1"/>
        <v>2024-12</v>
      </c>
    </row>
    <row r="51" spans="1:15">
      <c r="A51" s="8">
        <v>45635</v>
      </c>
      <c r="B51" s="9">
        <v>520.84</v>
      </c>
      <c r="C51" s="9">
        <v>479.93</v>
      </c>
      <c r="D51" s="9">
        <v>104.93</v>
      </c>
      <c r="E51" s="9">
        <v>250.78</v>
      </c>
      <c r="F51" s="9">
        <v>352.15</v>
      </c>
      <c r="G51" s="10">
        <v>18.571999999999999</v>
      </c>
      <c r="H51" s="10">
        <v>17.789000000000001</v>
      </c>
      <c r="I51" s="10">
        <v>2.6349999999999998</v>
      </c>
      <c r="J51" s="9">
        <v>351.28</v>
      </c>
      <c r="K51" s="9">
        <v>340.67</v>
      </c>
      <c r="L51" s="9">
        <v>350.01</v>
      </c>
      <c r="M51" s="9">
        <v>136.83000000000001</v>
      </c>
      <c r="N51">
        <v>1</v>
      </c>
      <c r="O51" t="str">
        <f t="shared" si="1"/>
        <v>2024-12</v>
      </c>
    </row>
    <row r="52" spans="1:15">
      <c r="A52" s="8">
        <v>45642</v>
      </c>
      <c r="B52" s="9">
        <v>527.79999999999995</v>
      </c>
      <c r="C52" s="9">
        <v>500.64</v>
      </c>
      <c r="D52" s="9">
        <v>101.48</v>
      </c>
      <c r="E52" s="9">
        <v>253.27</v>
      </c>
      <c r="F52" s="9">
        <v>354.64</v>
      </c>
      <c r="G52" s="10">
        <v>18.916</v>
      </c>
      <c r="H52" s="10">
        <v>18.408999999999999</v>
      </c>
      <c r="I52" s="10">
        <v>2.5459999999999998</v>
      </c>
      <c r="J52" s="9">
        <v>346.99</v>
      </c>
      <c r="K52" s="9">
        <v>342.62</v>
      </c>
      <c r="L52" s="9">
        <v>346.47</v>
      </c>
      <c r="M52" s="9">
        <v>147.33000000000001</v>
      </c>
      <c r="N52">
        <v>1</v>
      </c>
      <c r="O52" t="str">
        <f t="shared" si="1"/>
        <v>2024-12</v>
      </c>
    </row>
    <row r="53" spans="1:15">
      <c r="A53" s="8">
        <v>45649</v>
      </c>
      <c r="B53" s="9">
        <v>553.11</v>
      </c>
      <c r="C53" s="9">
        <v>491.99</v>
      </c>
      <c r="D53" s="9">
        <v>102.33</v>
      </c>
      <c r="E53" s="9">
        <v>239.08</v>
      </c>
      <c r="F53" s="9">
        <v>351.41</v>
      </c>
      <c r="G53" s="10">
        <v>19.286000000000001</v>
      </c>
      <c r="H53" s="10">
        <v>18.405999999999999</v>
      </c>
      <c r="I53" s="10">
        <v>2.6160000000000001</v>
      </c>
      <c r="J53" s="9">
        <v>341.26</v>
      </c>
      <c r="K53" s="9">
        <v>340.1</v>
      </c>
      <c r="L53" s="9">
        <v>341.12</v>
      </c>
      <c r="M53" s="9">
        <v>177.98</v>
      </c>
      <c r="N53">
        <v>1</v>
      </c>
      <c r="O53" t="str">
        <f t="shared" si="1"/>
        <v>2024-12</v>
      </c>
    </row>
    <row r="54" spans="1:15">
      <c r="A54" s="8">
        <v>45656</v>
      </c>
      <c r="B54" s="9">
        <v>535.65</v>
      </c>
      <c r="C54" s="9">
        <v>496</v>
      </c>
      <c r="D54" s="9">
        <v>101.71</v>
      </c>
      <c r="E54" s="9">
        <v>248.14</v>
      </c>
      <c r="F54" s="9">
        <v>362.29</v>
      </c>
      <c r="G54" s="10">
        <v>19.138999999999999</v>
      </c>
      <c r="H54" s="10">
        <v>18.207999999999998</v>
      </c>
      <c r="I54" s="10">
        <v>2.6720000000000002</v>
      </c>
      <c r="J54" s="9">
        <v>344.81</v>
      </c>
      <c r="K54" s="9">
        <v>348.59</v>
      </c>
      <c r="L54" s="9">
        <v>345.26</v>
      </c>
      <c r="M54" s="9">
        <v>156.38999999999999</v>
      </c>
      <c r="N54">
        <v>1</v>
      </c>
      <c r="O54" t="str">
        <f t="shared" si="1"/>
        <v>2024-12</v>
      </c>
    </row>
    <row r="55" spans="1:15">
      <c r="A55" s="8">
        <v>45663</v>
      </c>
      <c r="B55" s="9">
        <v>540.73</v>
      </c>
      <c r="C55" s="9">
        <v>508.94</v>
      </c>
      <c r="D55" s="9">
        <v>105.35</v>
      </c>
      <c r="E55" s="9">
        <v>268.39999999999998</v>
      </c>
      <c r="F55" s="9">
        <v>355.41</v>
      </c>
      <c r="G55" s="10">
        <v>19.454999999999998</v>
      </c>
      <c r="H55" s="10">
        <v>17.815000000000001</v>
      </c>
      <c r="I55" s="10">
        <v>2.7120000000000002</v>
      </c>
      <c r="J55" s="9">
        <v>360.76</v>
      </c>
      <c r="K55" s="9">
        <v>343.22</v>
      </c>
      <c r="L55" s="9">
        <v>358.65</v>
      </c>
      <c r="M55" s="9">
        <v>148.07</v>
      </c>
      <c r="N55">
        <v>1</v>
      </c>
      <c r="O55" t="str">
        <f t="shared" si="1"/>
        <v>2025-01</v>
      </c>
    </row>
    <row r="56" spans="1:15">
      <c r="A56" s="8">
        <v>45670</v>
      </c>
      <c r="B56" s="9">
        <v>554.04</v>
      </c>
      <c r="C56" s="9">
        <v>494.03</v>
      </c>
      <c r="D56" s="9">
        <v>109.51</v>
      </c>
      <c r="E56" s="9">
        <v>249.96</v>
      </c>
      <c r="F56" s="9">
        <v>358.49</v>
      </c>
      <c r="G56" s="10">
        <v>19.515999999999998</v>
      </c>
      <c r="H56" s="10">
        <v>18.791</v>
      </c>
      <c r="I56" s="10">
        <v>2.7989999999999999</v>
      </c>
      <c r="J56" s="9">
        <v>358.19</v>
      </c>
      <c r="K56" s="9">
        <v>345.62</v>
      </c>
      <c r="L56" s="9">
        <v>356.68</v>
      </c>
      <c r="M56" s="9">
        <v>163.36000000000001</v>
      </c>
      <c r="N56">
        <v>1</v>
      </c>
      <c r="O56" t="str">
        <f t="shared" si="1"/>
        <v>2025-01</v>
      </c>
    </row>
    <row r="57" spans="1:15">
      <c r="A57" s="8">
        <v>45677</v>
      </c>
      <c r="B57" s="9">
        <v>546.38</v>
      </c>
      <c r="C57" s="9">
        <v>499.41</v>
      </c>
      <c r="D57" s="9">
        <v>109.73</v>
      </c>
      <c r="E57" s="9">
        <v>267.67</v>
      </c>
      <c r="F57" s="9">
        <v>366.89</v>
      </c>
      <c r="G57" s="10">
        <v>19.611000000000001</v>
      </c>
      <c r="H57" s="10">
        <v>18.152999999999999</v>
      </c>
      <c r="I57" s="10">
        <v>2.7040000000000002</v>
      </c>
      <c r="J57" s="9">
        <v>367.41</v>
      </c>
      <c r="K57" s="9">
        <v>352.18</v>
      </c>
      <c r="L57" s="9">
        <v>365.58</v>
      </c>
      <c r="M57" s="9">
        <v>146.80000000000001</v>
      </c>
      <c r="N57">
        <v>1</v>
      </c>
      <c r="O57" t="str">
        <f t="shared" si="1"/>
        <v>2025-01</v>
      </c>
    </row>
    <row r="58" spans="1:15">
      <c r="A58" s="8">
        <v>45684</v>
      </c>
      <c r="B58" s="9">
        <v>568.27</v>
      </c>
      <c r="C58" s="9">
        <v>503.04</v>
      </c>
      <c r="D58" s="9">
        <v>102.17</v>
      </c>
      <c r="E58" s="9">
        <v>260.41000000000003</v>
      </c>
      <c r="F58" s="9">
        <v>368.92</v>
      </c>
      <c r="G58" s="10">
        <v>19.596</v>
      </c>
      <c r="H58" s="10">
        <v>18.315000000000001</v>
      </c>
      <c r="I58" s="10">
        <v>2.7719999999999998</v>
      </c>
      <c r="J58" s="9">
        <v>351.68</v>
      </c>
      <c r="K58" s="9">
        <v>353.76</v>
      </c>
      <c r="L58" s="9">
        <v>351.93</v>
      </c>
      <c r="M58" s="9">
        <v>182.34</v>
      </c>
      <c r="N58">
        <v>1</v>
      </c>
      <c r="O58" t="str">
        <f t="shared" si="1"/>
        <v>2025-01</v>
      </c>
    </row>
    <row r="59" spans="1:15">
      <c r="A59" s="8">
        <v>45691</v>
      </c>
      <c r="B59" s="9">
        <v>566.5</v>
      </c>
      <c r="C59" s="9">
        <v>512.47</v>
      </c>
      <c r="D59" s="9">
        <v>112.11</v>
      </c>
      <c r="E59" s="9">
        <v>269.2</v>
      </c>
      <c r="F59" s="9">
        <v>359.43</v>
      </c>
      <c r="G59" s="10">
        <v>19.954000000000001</v>
      </c>
      <c r="H59" s="10">
        <v>18.917000000000002</v>
      </c>
      <c r="I59" s="10">
        <v>2.8650000000000002</v>
      </c>
      <c r="J59" s="9">
        <v>371.98</v>
      </c>
      <c r="K59" s="9">
        <v>346.35</v>
      </c>
      <c r="L59" s="9">
        <v>368.9</v>
      </c>
      <c r="M59" s="9">
        <v>163.6</v>
      </c>
      <c r="N59">
        <v>1</v>
      </c>
      <c r="O59" t="str">
        <f t="shared" si="1"/>
        <v>2025-02</v>
      </c>
    </row>
    <row r="60" spans="1:15">
      <c r="A60" s="8">
        <v>45698</v>
      </c>
      <c r="B60" s="9">
        <v>558.59</v>
      </c>
      <c r="C60" s="9">
        <v>501.28</v>
      </c>
      <c r="D60" s="9">
        <v>109.95</v>
      </c>
      <c r="E60" s="9">
        <v>252.29</v>
      </c>
      <c r="F60" s="9">
        <v>370.23</v>
      </c>
      <c r="G60" s="10">
        <v>19.719000000000001</v>
      </c>
      <c r="H60" s="10">
        <v>18.625</v>
      </c>
      <c r="I60" s="10">
        <v>2.8650000000000002</v>
      </c>
      <c r="J60" s="9">
        <v>360.06</v>
      </c>
      <c r="K60" s="9">
        <v>354.78</v>
      </c>
      <c r="L60" s="9">
        <v>359.43</v>
      </c>
      <c r="M60" s="9">
        <v>165.16</v>
      </c>
      <c r="N60">
        <v>1</v>
      </c>
      <c r="O60" t="str">
        <f t="shared" si="1"/>
        <v>2025-02</v>
      </c>
    </row>
    <row r="61" spans="1:15">
      <c r="A61" s="8">
        <v>45705</v>
      </c>
      <c r="B61" s="9">
        <v>546</v>
      </c>
      <c r="C61" s="9">
        <v>515.51</v>
      </c>
      <c r="D61" s="9">
        <v>110.96</v>
      </c>
      <c r="E61" s="9">
        <v>250.07</v>
      </c>
      <c r="F61" s="9">
        <v>365.19</v>
      </c>
      <c r="G61" s="10">
        <v>19.797999999999998</v>
      </c>
      <c r="H61" s="10">
        <v>19.187000000000001</v>
      </c>
      <c r="I61" s="10">
        <v>2.83</v>
      </c>
      <c r="J61" s="9">
        <v>360.58</v>
      </c>
      <c r="K61" s="9">
        <v>350.85</v>
      </c>
      <c r="L61" s="9">
        <v>359.41</v>
      </c>
      <c r="M61" s="9">
        <v>152.59</v>
      </c>
      <c r="N61">
        <v>1</v>
      </c>
      <c r="O61" t="str">
        <f t="shared" si="1"/>
        <v>2025-02</v>
      </c>
    </row>
    <row r="62" spans="1:15">
      <c r="A62" s="8">
        <v>45712</v>
      </c>
      <c r="B62" s="9">
        <v>560.02</v>
      </c>
      <c r="C62" s="9">
        <v>513.12</v>
      </c>
      <c r="D62" s="9">
        <v>107.24</v>
      </c>
      <c r="E62" s="9">
        <v>256.70999999999998</v>
      </c>
      <c r="F62" s="9">
        <v>372.04</v>
      </c>
      <c r="G62" s="10">
        <v>20.161999999999999</v>
      </c>
      <c r="H62" s="10">
        <v>18.64</v>
      </c>
      <c r="I62" s="10">
        <v>2.931</v>
      </c>
      <c r="J62" s="9">
        <v>357.93</v>
      </c>
      <c r="K62" s="9">
        <v>356.19</v>
      </c>
      <c r="L62" s="9">
        <v>357.73</v>
      </c>
      <c r="M62" s="9">
        <v>168.3</v>
      </c>
      <c r="N62">
        <v>1</v>
      </c>
      <c r="O62" t="str">
        <f t="shared" si="1"/>
        <v>2025-02</v>
      </c>
    </row>
    <row r="63" spans="1:15">
      <c r="A63" s="8">
        <v>45719</v>
      </c>
      <c r="B63" s="9">
        <v>559.63</v>
      </c>
      <c r="C63" s="9">
        <v>518.85</v>
      </c>
      <c r="D63" s="9">
        <v>114.55</v>
      </c>
      <c r="E63" s="9">
        <v>246.2</v>
      </c>
      <c r="F63" s="9">
        <v>382.96</v>
      </c>
      <c r="G63" s="10">
        <v>20.007000000000001</v>
      </c>
      <c r="H63" s="10">
        <v>19.010000000000002</v>
      </c>
      <c r="I63" s="10">
        <v>2.8109999999999999</v>
      </c>
      <c r="J63" s="9">
        <v>364.38</v>
      </c>
      <c r="K63" s="9">
        <v>364.71</v>
      </c>
      <c r="L63" s="9">
        <v>364.42</v>
      </c>
      <c r="M63" s="9">
        <v>161.22</v>
      </c>
      <c r="N63">
        <v>1</v>
      </c>
      <c r="O63" t="str">
        <f t="shared" si="1"/>
        <v>2025-03</v>
      </c>
    </row>
    <row r="64" spans="1:15">
      <c r="A64" s="8">
        <v>45726</v>
      </c>
      <c r="B64" s="9">
        <v>560.33000000000004</v>
      </c>
      <c r="C64" s="9">
        <v>512.9</v>
      </c>
      <c r="D64" s="9">
        <v>114.58</v>
      </c>
      <c r="E64" s="9">
        <v>250.97</v>
      </c>
      <c r="F64" s="9">
        <v>371.21</v>
      </c>
      <c r="G64" s="10">
        <v>20.151</v>
      </c>
      <c r="H64" s="10">
        <v>18.896000000000001</v>
      </c>
      <c r="I64" s="10">
        <v>2.9249999999999998</v>
      </c>
      <c r="J64" s="9">
        <v>366.81</v>
      </c>
      <c r="K64" s="9">
        <v>355.54</v>
      </c>
      <c r="L64" s="9">
        <v>365.45</v>
      </c>
      <c r="M64" s="9">
        <v>160.88</v>
      </c>
      <c r="N64">
        <v>1</v>
      </c>
      <c r="O64" t="str">
        <f t="shared" si="1"/>
        <v>2025-03</v>
      </c>
    </row>
    <row r="65" spans="1:15">
      <c r="A65" s="8">
        <v>45733</v>
      </c>
      <c r="B65" s="9">
        <v>555.19000000000005</v>
      </c>
      <c r="C65" s="9">
        <v>517.58000000000004</v>
      </c>
      <c r="D65" s="9">
        <v>115.27</v>
      </c>
      <c r="E65" s="9">
        <v>246.76</v>
      </c>
      <c r="F65" s="9">
        <v>374.99</v>
      </c>
      <c r="G65" s="10">
        <v>20.212</v>
      </c>
      <c r="H65" s="10">
        <v>19.007999999999999</v>
      </c>
      <c r="I65" s="10">
        <v>2.9169999999999998</v>
      </c>
      <c r="J65" s="9">
        <v>365.81</v>
      </c>
      <c r="K65" s="9">
        <v>358.49</v>
      </c>
      <c r="L65" s="9">
        <v>364.94</v>
      </c>
      <c r="M65" s="9">
        <v>156.26</v>
      </c>
      <c r="N65">
        <v>1</v>
      </c>
      <c r="O65" t="str">
        <f t="shared" si="1"/>
        <v>2025-03</v>
      </c>
    </row>
    <row r="66" spans="1:15">
      <c r="A66" s="8">
        <v>45740</v>
      </c>
      <c r="B66" s="9">
        <v>559.17999999999995</v>
      </c>
      <c r="C66" s="9">
        <v>528.74</v>
      </c>
      <c r="D66" s="9">
        <v>118.24</v>
      </c>
      <c r="E66" s="9">
        <v>239.73</v>
      </c>
      <c r="F66" s="9">
        <v>376.71</v>
      </c>
      <c r="G66" s="10">
        <v>20.193000000000001</v>
      </c>
      <c r="H66" s="10">
        <v>18.401</v>
      </c>
      <c r="I66" s="10">
        <v>2.95</v>
      </c>
      <c r="J66" s="9">
        <v>367.05</v>
      </c>
      <c r="K66" s="9">
        <v>359.83</v>
      </c>
      <c r="L66" s="9">
        <v>366.18</v>
      </c>
      <c r="M66" s="9">
        <v>159</v>
      </c>
      <c r="N66">
        <v>1</v>
      </c>
      <c r="O66" t="str">
        <f t="shared" ref="O66:O97" si="2">TEXT(A66,"yyyy-mm")</f>
        <v>2025-03</v>
      </c>
    </row>
    <row r="67" spans="1:15">
      <c r="A67" s="8">
        <v>45747</v>
      </c>
      <c r="B67" s="9">
        <v>574.01</v>
      </c>
      <c r="C67" s="9">
        <v>520.70000000000005</v>
      </c>
      <c r="D67" s="9">
        <v>116.94</v>
      </c>
      <c r="E67" s="9">
        <v>245.05</v>
      </c>
      <c r="F67" s="9">
        <v>377.83</v>
      </c>
      <c r="G67" s="10">
        <v>20.16</v>
      </c>
      <c r="H67" s="10">
        <v>18.637</v>
      </c>
      <c r="I67" s="10">
        <v>3.0059999999999998</v>
      </c>
      <c r="J67" s="9">
        <v>367.62</v>
      </c>
      <c r="K67" s="9">
        <v>360.71</v>
      </c>
      <c r="L67" s="9">
        <v>366.79</v>
      </c>
      <c r="M67" s="9">
        <v>173.21</v>
      </c>
      <c r="N67">
        <v>1</v>
      </c>
      <c r="O67" t="str">
        <f t="shared" si="2"/>
        <v>2025-03</v>
      </c>
    </row>
    <row r="68" spans="1:15">
      <c r="A68" s="8">
        <v>45754</v>
      </c>
      <c r="B68" s="9">
        <v>564.52</v>
      </c>
      <c r="C68" s="9">
        <v>530.49</v>
      </c>
      <c r="D68" s="9">
        <v>112.6</v>
      </c>
      <c r="E68" s="9">
        <v>241.48</v>
      </c>
      <c r="F68" s="9">
        <v>375.89</v>
      </c>
      <c r="G68" s="10">
        <v>19.728999999999999</v>
      </c>
      <c r="H68" s="10">
        <v>18.678000000000001</v>
      </c>
      <c r="I68" s="10">
        <v>2.9329999999999998</v>
      </c>
      <c r="J68" s="9">
        <v>358.9</v>
      </c>
      <c r="K68" s="9">
        <v>359.2</v>
      </c>
      <c r="L68" s="9">
        <v>358.94</v>
      </c>
      <c r="M68" s="9">
        <v>171.58</v>
      </c>
      <c r="N68">
        <v>1</v>
      </c>
      <c r="O68" t="str">
        <f t="shared" si="2"/>
        <v>2025-04</v>
      </c>
    </row>
    <row r="69" spans="1:15">
      <c r="A69" s="8">
        <v>45761</v>
      </c>
      <c r="B69" s="9">
        <v>561.04</v>
      </c>
      <c r="C69" s="9">
        <v>523.28</v>
      </c>
      <c r="D69" s="9">
        <v>110.39</v>
      </c>
      <c r="E69" s="9">
        <v>234.47</v>
      </c>
      <c r="F69" s="9">
        <v>373.28</v>
      </c>
      <c r="G69" s="10">
        <v>19.524000000000001</v>
      </c>
      <c r="H69" s="10">
        <v>19.001000000000001</v>
      </c>
      <c r="I69" s="10">
        <v>3.028</v>
      </c>
      <c r="J69" s="9">
        <v>351.86</v>
      </c>
      <c r="K69" s="9">
        <v>357.16</v>
      </c>
      <c r="L69" s="9">
        <v>352.5</v>
      </c>
      <c r="M69" s="9">
        <v>174.54</v>
      </c>
      <c r="N69">
        <v>1</v>
      </c>
      <c r="O69" t="str">
        <f t="shared" si="2"/>
        <v>2025-04</v>
      </c>
    </row>
    <row r="70" spans="1:15">
      <c r="A70" s="8">
        <v>45768</v>
      </c>
      <c r="B70" s="9">
        <v>558.86</v>
      </c>
      <c r="C70" s="9">
        <v>526.39</v>
      </c>
      <c r="D70" s="9">
        <v>112.14</v>
      </c>
      <c r="E70" s="9">
        <v>223.72</v>
      </c>
      <c r="F70" s="9">
        <v>362.37</v>
      </c>
      <c r="G70" s="10">
        <v>19.795999999999999</v>
      </c>
      <c r="H70" s="10">
        <v>19.062999999999999</v>
      </c>
      <c r="I70" s="10">
        <v>3.0409999999999999</v>
      </c>
      <c r="J70" s="9">
        <v>349.28</v>
      </c>
      <c r="K70" s="9">
        <v>348.65</v>
      </c>
      <c r="L70" s="9">
        <v>349.2</v>
      </c>
      <c r="M70" s="9">
        <v>175.66</v>
      </c>
      <c r="N70">
        <v>1</v>
      </c>
      <c r="O70" t="str">
        <f t="shared" si="2"/>
        <v>2025-04</v>
      </c>
    </row>
    <row r="71" spans="1:15">
      <c r="A71" s="8">
        <v>45775</v>
      </c>
      <c r="B71" s="9">
        <v>563</v>
      </c>
      <c r="C71" s="9">
        <v>522.70000000000005</v>
      </c>
      <c r="D71" s="9">
        <v>112.15</v>
      </c>
      <c r="E71" s="9">
        <v>234.04</v>
      </c>
      <c r="F71" s="9">
        <v>366.41</v>
      </c>
      <c r="G71" s="10">
        <v>20.09</v>
      </c>
      <c r="H71" s="10">
        <v>18.837</v>
      </c>
      <c r="I71" s="10">
        <v>2.9159999999999999</v>
      </c>
      <c r="J71" s="9">
        <v>354.46</v>
      </c>
      <c r="K71" s="9">
        <v>351.8</v>
      </c>
      <c r="L71" s="9">
        <v>354.14</v>
      </c>
      <c r="M71" s="9">
        <v>174.86</v>
      </c>
      <c r="N71">
        <v>1</v>
      </c>
      <c r="O71" t="str">
        <f t="shared" si="2"/>
        <v>2025-04</v>
      </c>
    </row>
    <row r="72" spans="1:15">
      <c r="A72" s="8">
        <v>45782</v>
      </c>
      <c r="B72" s="9">
        <v>563.16</v>
      </c>
      <c r="C72" s="9">
        <v>525.85</v>
      </c>
      <c r="D72" s="9">
        <v>110.08</v>
      </c>
      <c r="E72" s="9">
        <v>219.91</v>
      </c>
      <c r="F72" s="9">
        <v>375.01</v>
      </c>
      <c r="G72" s="10">
        <v>20.084</v>
      </c>
      <c r="H72" s="10">
        <v>19.006</v>
      </c>
      <c r="I72" s="10">
        <v>3.0169999999999999</v>
      </c>
      <c r="J72" s="9">
        <v>344.09</v>
      </c>
      <c r="K72" s="9">
        <v>358.51</v>
      </c>
      <c r="L72" s="9">
        <v>345.82</v>
      </c>
      <c r="M72" s="9">
        <v>183.35</v>
      </c>
      <c r="N72">
        <v>1</v>
      </c>
      <c r="O72" t="str">
        <f t="shared" si="2"/>
        <v>2025-05</v>
      </c>
    </row>
    <row r="73" spans="1:15">
      <c r="A73" s="8">
        <v>45789</v>
      </c>
      <c r="B73" s="9">
        <v>537.57000000000005</v>
      </c>
      <c r="C73" s="9">
        <v>531.59</v>
      </c>
      <c r="D73" s="9">
        <v>115.55</v>
      </c>
      <c r="E73" s="9">
        <v>216.64</v>
      </c>
      <c r="F73" s="9">
        <v>375.16</v>
      </c>
      <c r="G73" s="10">
        <v>19.789000000000001</v>
      </c>
      <c r="H73" s="10">
        <v>18.513999999999999</v>
      </c>
      <c r="I73" s="10">
        <v>2.9990000000000001</v>
      </c>
      <c r="J73" s="9">
        <v>351.21</v>
      </c>
      <c r="K73" s="9">
        <v>358.63</v>
      </c>
      <c r="L73" s="9">
        <v>352.1</v>
      </c>
      <c r="M73" s="9">
        <v>151.47999999999999</v>
      </c>
      <c r="N73">
        <v>1</v>
      </c>
      <c r="O73" t="str">
        <f t="shared" si="2"/>
        <v>2025-05</v>
      </c>
    </row>
    <row r="74" spans="1:15">
      <c r="A74" s="8">
        <v>45796</v>
      </c>
      <c r="B74" s="9">
        <v>554.70000000000005</v>
      </c>
      <c r="C74" s="9">
        <v>543.04999999999995</v>
      </c>
      <c r="D74" s="9">
        <v>109</v>
      </c>
      <c r="E74" s="9">
        <v>222.47</v>
      </c>
      <c r="F74" s="9">
        <v>363.56</v>
      </c>
      <c r="G74" s="10">
        <v>19.885000000000002</v>
      </c>
      <c r="H74" s="10">
        <v>18.757999999999999</v>
      </c>
      <c r="I74" s="10">
        <v>3.0670000000000002</v>
      </c>
      <c r="J74" s="9">
        <v>343.64</v>
      </c>
      <c r="K74" s="9">
        <v>349.57</v>
      </c>
      <c r="L74" s="9">
        <v>344.35</v>
      </c>
      <c r="M74" s="9">
        <v>176.35</v>
      </c>
      <c r="N74">
        <v>1</v>
      </c>
      <c r="O74" t="str">
        <f t="shared" si="2"/>
        <v>2025-05</v>
      </c>
    </row>
    <row r="75" spans="1:15">
      <c r="A75" s="8">
        <v>45803</v>
      </c>
      <c r="B75" s="9">
        <v>558.94000000000005</v>
      </c>
      <c r="C75" s="9">
        <v>521.15</v>
      </c>
      <c r="D75" s="9">
        <v>110.2</v>
      </c>
      <c r="E75" s="9">
        <v>208.86</v>
      </c>
      <c r="F75" s="9">
        <v>365.67</v>
      </c>
      <c r="G75" s="10">
        <v>19.777000000000001</v>
      </c>
      <c r="H75" s="10">
        <v>18.738</v>
      </c>
      <c r="I75" s="10">
        <v>3.0259999999999998</v>
      </c>
      <c r="J75" s="9">
        <v>338.75</v>
      </c>
      <c r="K75" s="9">
        <v>351.23</v>
      </c>
      <c r="L75" s="9">
        <v>340.25</v>
      </c>
      <c r="M75" s="9">
        <v>184.69</v>
      </c>
      <c r="N75">
        <v>1</v>
      </c>
      <c r="O75" t="str">
        <f t="shared" si="2"/>
        <v>2025-05</v>
      </c>
    </row>
    <row r="76" spans="1:15">
      <c r="A76" s="8">
        <v>45810</v>
      </c>
      <c r="B76" s="9">
        <v>540.22</v>
      </c>
      <c r="C76" s="9">
        <v>520.36</v>
      </c>
      <c r="D76" s="9">
        <v>104.11</v>
      </c>
      <c r="E76" s="9">
        <v>215.95</v>
      </c>
      <c r="F76" s="9">
        <v>363.87</v>
      </c>
      <c r="G76" s="10">
        <v>19.335999999999999</v>
      </c>
      <c r="H76" s="10">
        <v>19.161000000000001</v>
      </c>
      <c r="I76" s="10">
        <v>2.9380000000000002</v>
      </c>
      <c r="J76" s="9">
        <v>332.55</v>
      </c>
      <c r="K76" s="9">
        <v>349.82</v>
      </c>
      <c r="L76" s="9">
        <v>334.63</v>
      </c>
      <c r="M76" s="9">
        <v>171.59</v>
      </c>
      <c r="N76">
        <v>1</v>
      </c>
      <c r="O76" t="str">
        <f t="shared" si="2"/>
        <v>2025-06</v>
      </c>
    </row>
    <row r="77" spans="1:15">
      <c r="A77" s="8">
        <v>45817</v>
      </c>
      <c r="B77" s="9">
        <v>546.03</v>
      </c>
      <c r="C77" s="9">
        <v>512.30999999999995</v>
      </c>
      <c r="D77" s="9">
        <v>105.18</v>
      </c>
      <c r="E77" s="9">
        <v>199.08</v>
      </c>
      <c r="F77" s="9">
        <v>356.95</v>
      </c>
      <c r="G77" s="10">
        <v>19.428999999999998</v>
      </c>
      <c r="H77" s="10">
        <v>18.175000000000001</v>
      </c>
      <c r="I77" s="10">
        <v>2.9649999999999999</v>
      </c>
      <c r="J77" s="9">
        <v>325.82</v>
      </c>
      <c r="K77" s="9">
        <v>344.42</v>
      </c>
      <c r="L77" s="9">
        <v>328.05</v>
      </c>
      <c r="M77" s="9">
        <v>183.97</v>
      </c>
      <c r="N77">
        <v>1</v>
      </c>
      <c r="O77" t="str">
        <f t="shared" si="2"/>
        <v>2025-06</v>
      </c>
    </row>
    <row r="78" spans="1:15">
      <c r="A78" s="8">
        <v>45824</v>
      </c>
      <c r="B78" s="9">
        <v>540.15</v>
      </c>
      <c r="C78" s="9">
        <v>521.73</v>
      </c>
      <c r="D78" s="9">
        <v>101.73</v>
      </c>
      <c r="E78" s="9">
        <v>196.26</v>
      </c>
      <c r="F78" s="9">
        <v>362.61</v>
      </c>
      <c r="G78" s="10">
        <v>19.239000000000001</v>
      </c>
      <c r="H78" s="10">
        <v>18.419</v>
      </c>
      <c r="I78" s="10">
        <v>2.9820000000000002</v>
      </c>
      <c r="J78" s="9">
        <v>318.89</v>
      </c>
      <c r="K78" s="9">
        <v>348.83</v>
      </c>
      <c r="L78" s="9">
        <v>322.48</v>
      </c>
      <c r="M78" s="9">
        <v>183.67</v>
      </c>
      <c r="N78">
        <v>1</v>
      </c>
      <c r="O78" t="str">
        <f t="shared" si="2"/>
        <v>2025-06</v>
      </c>
    </row>
    <row r="79" spans="1:15">
      <c r="A79" s="8">
        <v>45831</v>
      </c>
      <c r="B79" s="9">
        <v>529.38</v>
      </c>
      <c r="C79" s="9">
        <v>499.56</v>
      </c>
      <c r="D79" s="9">
        <v>100.54</v>
      </c>
      <c r="E79" s="9">
        <v>195.55</v>
      </c>
      <c r="F79" s="9">
        <v>355.5</v>
      </c>
      <c r="G79" s="10">
        <v>18.925999999999998</v>
      </c>
      <c r="H79" s="10">
        <v>18.481000000000002</v>
      </c>
      <c r="I79" s="10">
        <v>3.016</v>
      </c>
      <c r="J79" s="9">
        <v>316.64</v>
      </c>
      <c r="K79" s="9">
        <v>343.29</v>
      </c>
      <c r="L79" s="9">
        <v>319.83999999999997</v>
      </c>
      <c r="M79" s="9">
        <v>175.55</v>
      </c>
      <c r="N79">
        <v>1</v>
      </c>
      <c r="O79" t="str">
        <f t="shared" si="2"/>
        <v>2025-06</v>
      </c>
    </row>
    <row r="80" spans="1:15">
      <c r="A80" s="8">
        <v>45838</v>
      </c>
      <c r="B80" s="9">
        <v>535.83000000000004</v>
      </c>
      <c r="C80" s="9">
        <v>498.24</v>
      </c>
      <c r="D80" s="9">
        <v>105.41</v>
      </c>
      <c r="E80" s="9">
        <v>186.11</v>
      </c>
      <c r="F80" s="9">
        <v>349.56</v>
      </c>
      <c r="G80" s="10">
        <v>18.984000000000002</v>
      </c>
      <c r="H80" s="10">
        <v>17.920999999999999</v>
      </c>
      <c r="I80" s="10">
        <v>3.0819999999999999</v>
      </c>
      <c r="J80" s="9">
        <v>319.70999999999998</v>
      </c>
      <c r="K80" s="9">
        <v>338.65</v>
      </c>
      <c r="L80" s="9">
        <v>321.99</v>
      </c>
      <c r="M80" s="9">
        <v>179.84</v>
      </c>
      <c r="N80">
        <v>1</v>
      </c>
      <c r="O80" t="str">
        <f t="shared" si="2"/>
        <v>2025-06</v>
      </c>
    </row>
    <row r="81" spans="1:15">
      <c r="A81" s="8">
        <v>45845</v>
      </c>
      <c r="B81" s="9">
        <v>539.4</v>
      </c>
      <c r="C81" s="9">
        <v>504.53</v>
      </c>
      <c r="D81" s="9">
        <v>99.81</v>
      </c>
      <c r="E81" s="9">
        <v>188.25</v>
      </c>
      <c r="F81" s="9">
        <v>357.97</v>
      </c>
      <c r="G81" s="10">
        <v>18.962</v>
      </c>
      <c r="H81" s="10">
        <v>17.946999999999999</v>
      </c>
      <c r="I81" s="10">
        <v>2.9540000000000002</v>
      </c>
      <c r="J81" s="9">
        <v>311.83</v>
      </c>
      <c r="K81" s="9">
        <v>345.21</v>
      </c>
      <c r="L81" s="9">
        <v>315.83</v>
      </c>
      <c r="M81" s="9">
        <v>189.57</v>
      </c>
      <c r="N81">
        <v>1</v>
      </c>
      <c r="O81" t="str">
        <f t="shared" si="2"/>
        <v>2025-07</v>
      </c>
    </row>
    <row r="82" spans="1:15">
      <c r="A82" s="8">
        <v>45852</v>
      </c>
      <c r="B82" s="9">
        <v>525.57000000000005</v>
      </c>
      <c r="C82" s="9">
        <v>504.16</v>
      </c>
      <c r="D82" s="9">
        <v>99.2</v>
      </c>
      <c r="E82" s="9">
        <v>179.05</v>
      </c>
      <c r="F82" s="9">
        <v>353.75</v>
      </c>
      <c r="G82" s="10">
        <v>18.565999999999999</v>
      </c>
      <c r="H82" s="10">
        <v>17.838999999999999</v>
      </c>
      <c r="I82" s="10">
        <v>2.9390000000000001</v>
      </c>
      <c r="J82" s="9">
        <v>306.24</v>
      </c>
      <c r="K82" s="9">
        <v>341.92</v>
      </c>
      <c r="L82" s="9">
        <v>310.52999999999997</v>
      </c>
      <c r="M82" s="9">
        <v>181.05</v>
      </c>
      <c r="N82">
        <v>1</v>
      </c>
      <c r="O82" t="str">
        <f t="shared" si="2"/>
        <v>2025-07</v>
      </c>
    </row>
    <row r="83" spans="1:15">
      <c r="A83" s="8">
        <v>45859</v>
      </c>
      <c r="B83" s="9">
        <v>533.58000000000004</v>
      </c>
      <c r="C83" s="9">
        <v>505.32</v>
      </c>
      <c r="D83" s="9">
        <v>94.79</v>
      </c>
      <c r="E83" s="9">
        <v>182.81</v>
      </c>
      <c r="F83" s="9">
        <v>345.34</v>
      </c>
      <c r="G83" s="10">
        <v>18.84</v>
      </c>
      <c r="H83" s="10">
        <v>17.623999999999999</v>
      </c>
      <c r="I83" s="10">
        <v>2.9710000000000001</v>
      </c>
      <c r="J83" s="9">
        <v>301.06</v>
      </c>
      <c r="K83" s="9">
        <v>335.37</v>
      </c>
      <c r="L83" s="9">
        <v>305.18</v>
      </c>
      <c r="M83" s="9">
        <v>194.4</v>
      </c>
      <c r="N83">
        <v>1</v>
      </c>
      <c r="O83" t="str">
        <f t="shared" si="2"/>
        <v>2025-07</v>
      </c>
    </row>
    <row r="84" spans="1:15">
      <c r="A84" s="8">
        <v>45866</v>
      </c>
      <c r="B84" s="9">
        <v>536.35</v>
      </c>
      <c r="C84" s="9">
        <v>499.19</v>
      </c>
      <c r="D84" s="9">
        <v>93.38</v>
      </c>
      <c r="E84" s="9">
        <v>195.45</v>
      </c>
      <c r="F84" s="9">
        <v>342.37</v>
      </c>
      <c r="G84" s="10">
        <v>18.719000000000001</v>
      </c>
      <c r="H84" s="10">
        <v>17.602</v>
      </c>
      <c r="I84" s="10">
        <v>2.96</v>
      </c>
      <c r="J84" s="9">
        <v>305.14</v>
      </c>
      <c r="K84" s="9">
        <v>333.05</v>
      </c>
      <c r="L84" s="9">
        <v>308.49</v>
      </c>
      <c r="M84" s="9">
        <v>193.86</v>
      </c>
      <c r="N84">
        <v>1</v>
      </c>
      <c r="O84" t="str">
        <f t="shared" si="2"/>
        <v>2025-07</v>
      </c>
    </row>
    <row r="85" spans="1:15">
      <c r="A85" s="8">
        <v>45873</v>
      </c>
      <c r="B85" s="9">
        <v>519.92999999999995</v>
      </c>
      <c r="C85" s="9">
        <v>488.74</v>
      </c>
      <c r="D85" s="9">
        <v>96.63</v>
      </c>
      <c r="E85" s="9">
        <v>174.96</v>
      </c>
      <c r="F85" s="9">
        <v>339.12</v>
      </c>
      <c r="G85" s="10">
        <v>18.260999999999999</v>
      </c>
      <c r="H85" s="10">
        <v>17.100999999999999</v>
      </c>
      <c r="I85" s="10">
        <v>3.0009999999999999</v>
      </c>
      <c r="J85" s="9">
        <v>300.08999999999997</v>
      </c>
      <c r="K85" s="9">
        <v>330.51</v>
      </c>
      <c r="L85" s="9">
        <v>303.74</v>
      </c>
      <c r="M85" s="9">
        <v>182.19</v>
      </c>
      <c r="N85">
        <v>1</v>
      </c>
      <c r="O85" t="str">
        <f t="shared" si="2"/>
        <v>2025-08</v>
      </c>
    </row>
    <row r="86" spans="1:15">
      <c r="A86" s="8">
        <v>45880</v>
      </c>
      <c r="B86" s="9">
        <v>528.96</v>
      </c>
      <c r="C86" s="9">
        <v>491.44</v>
      </c>
      <c r="D86" s="9">
        <v>97.98</v>
      </c>
      <c r="E86" s="9">
        <v>172.25</v>
      </c>
      <c r="F86" s="9">
        <v>344.54</v>
      </c>
      <c r="G86" s="10">
        <v>18.707000000000001</v>
      </c>
      <c r="H86" s="10">
        <v>17.835999999999999</v>
      </c>
      <c r="I86" s="10">
        <v>3.0030000000000001</v>
      </c>
      <c r="J86" s="9">
        <v>300.89999999999998</v>
      </c>
      <c r="K86" s="9">
        <v>334.74</v>
      </c>
      <c r="L86" s="9">
        <v>304.95999999999998</v>
      </c>
      <c r="M86" s="9">
        <v>190</v>
      </c>
      <c r="N86">
        <v>1</v>
      </c>
      <c r="O86" t="str">
        <f t="shared" si="2"/>
        <v>2025-08</v>
      </c>
    </row>
    <row r="87" spans="1:15">
      <c r="A87" s="8">
        <v>45887</v>
      </c>
      <c r="B87" s="9">
        <v>517.49</v>
      </c>
      <c r="C87" s="9">
        <v>481.31</v>
      </c>
      <c r="D87" s="9">
        <v>89.95</v>
      </c>
      <c r="E87" s="9">
        <v>185.29</v>
      </c>
      <c r="F87" s="9">
        <v>340.44</v>
      </c>
      <c r="G87" s="10">
        <v>18.184999999999999</v>
      </c>
      <c r="H87" s="10">
        <v>17.236999999999998</v>
      </c>
      <c r="I87" s="10">
        <v>3.044</v>
      </c>
      <c r="J87" s="9">
        <v>294.57</v>
      </c>
      <c r="K87" s="9">
        <v>331.54</v>
      </c>
      <c r="L87" s="9">
        <v>299.01</v>
      </c>
      <c r="M87" s="9">
        <v>184.49</v>
      </c>
      <c r="N87">
        <v>1</v>
      </c>
      <c r="O87" t="str">
        <f t="shared" si="2"/>
        <v>2025-08</v>
      </c>
    </row>
    <row r="88" spans="1:15">
      <c r="A88" s="8">
        <v>45894</v>
      </c>
      <c r="B88" s="9">
        <v>522.97</v>
      </c>
      <c r="C88" s="9">
        <v>478.89</v>
      </c>
      <c r="D88" s="9">
        <v>91.05</v>
      </c>
      <c r="E88" s="9">
        <v>183.39</v>
      </c>
      <c r="F88" s="9">
        <v>320.91000000000003</v>
      </c>
      <c r="G88" s="10">
        <v>18.734000000000002</v>
      </c>
      <c r="H88" s="10">
        <v>17.292000000000002</v>
      </c>
      <c r="I88" s="10">
        <v>2.984</v>
      </c>
      <c r="J88" s="9">
        <v>295.37</v>
      </c>
      <c r="K88" s="9">
        <v>316.31</v>
      </c>
      <c r="L88" s="9">
        <v>297.88</v>
      </c>
      <c r="M88" s="9">
        <v>191.09</v>
      </c>
      <c r="N88">
        <v>1</v>
      </c>
      <c r="O88" t="str">
        <f t="shared" si="2"/>
        <v>2025-08</v>
      </c>
    </row>
    <row r="89" spans="1:15">
      <c r="A89" s="8">
        <v>45901</v>
      </c>
      <c r="B89" s="9">
        <v>510.69</v>
      </c>
      <c r="C89" s="9">
        <v>484.21</v>
      </c>
      <c r="D89" s="9">
        <v>88.51</v>
      </c>
      <c r="E89" s="9">
        <v>182.29</v>
      </c>
      <c r="F89" s="9">
        <v>338.29</v>
      </c>
      <c r="G89" s="10">
        <v>18.457999999999998</v>
      </c>
      <c r="H89" s="10">
        <v>17.518000000000001</v>
      </c>
      <c r="I89" s="10">
        <v>2.9870000000000001</v>
      </c>
      <c r="J89" s="9">
        <v>290.76</v>
      </c>
      <c r="K89" s="9">
        <v>329.87</v>
      </c>
      <c r="L89" s="9">
        <v>295.45</v>
      </c>
      <c r="M89" s="9">
        <v>181.24</v>
      </c>
      <c r="N89">
        <v>1</v>
      </c>
      <c r="O89" t="str">
        <f t="shared" si="2"/>
        <v>2025-09</v>
      </c>
    </row>
    <row r="90" spans="1:15">
      <c r="A90" s="8">
        <v>45908</v>
      </c>
      <c r="B90" s="9">
        <v>521.22</v>
      </c>
      <c r="C90" s="9">
        <v>481.53</v>
      </c>
      <c r="D90" s="9">
        <v>87.18</v>
      </c>
      <c r="E90" s="9">
        <v>181.7</v>
      </c>
      <c r="F90" s="9">
        <v>331.63</v>
      </c>
      <c r="G90" s="10">
        <v>17.567</v>
      </c>
      <c r="H90" s="10">
        <v>17.106000000000002</v>
      </c>
      <c r="I90" s="10">
        <v>3.0089999999999999</v>
      </c>
      <c r="J90" s="9">
        <v>288.33999999999997</v>
      </c>
      <c r="K90" s="9">
        <v>324.67</v>
      </c>
      <c r="L90" s="9">
        <v>292.7</v>
      </c>
      <c r="M90" s="9">
        <v>194.52</v>
      </c>
      <c r="N90">
        <v>1</v>
      </c>
      <c r="O90" t="str">
        <f t="shared" si="2"/>
        <v>2025-09</v>
      </c>
    </row>
    <row r="91" spans="1:15">
      <c r="A91" s="8">
        <v>45915</v>
      </c>
      <c r="B91" s="9">
        <v>511.9</v>
      </c>
      <c r="C91" s="9">
        <v>482.46</v>
      </c>
      <c r="D91" s="9">
        <v>87.15</v>
      </c>
      <c r="E91" s="9">
        <v>191.58</v>
      </c>
      <c r="F91" s="9">
        <v>332.59</v>
      </c>
      <c r="G91" s="10">
        <v>18.489999999999998</v>
      </c>
      <c r="H91" s="10">
        <v>16.798999999999999</v>
      </c>
      <c r="I91" s="10">
        <v>3.0470000000000002</v>
      </c>
      <c r="J91" s="9">
        <v>293.23</v>
      </c>
      <c r="K91" s="9">
        <v>325.42</v>
      </c>
      <c r="L91" s="9">
        <v>297.08999999999997</v>
      </c>
      <c r="M91" s="9">
        <v>180.81</v>
      </c>
      <c r="N91">
        <v>1</v>
      </c>
      <c r="O91" t="str">
        <f t="shared" si="2"/>
        <v>2025-09</v>
      </c>
    </row>
    <row r="92" spans="1:15">
      <c r="A92" s="8">
        <v>45922</v>
      </c>
      <c r="B92" s="9">
        <v>502.98</v>
      </c>
      <c r="C92" s="9">
        <v>471.4</v>
      </c>
      <c r="D92" s="9">
        <v>85.22</v>
      </c>
      <c r="E92" s="9">
        <v>195.81</v>
      </c>
      <c r="F92" s="9">
        <v>319.60000000000002</v>
      </c>
      <c r="G92" s="10">
        <v>18.015000000000001</v>
      </c>
      <c r="H92" s="10">
        <v>17.170000000000002</v>
      </c>
      <c r="I92" s="10">
        <v>3.089</v>
      </c>
      <c r="J92" s="9">
        <v>292.25</v>
      </c>
      <c r="K92" s="9">
        <v>315.29000000000002</v>
      </c>
      <c r="L92" s="9">
        <v>295.02</v>
      </c>
      <c r="M92" s="9">
        <v>173.96</v>
      </c>
      <c r="N92">
        <v>1</v>
      </c>
      <c r="O92" t="str">
        <f t="shared" si="2"/>
        <v>2025-09</v>
      </c>
    </row>
    <row r="93" spans="1:15">
      <c r="A93" s="8">
        <v>45929</v>
      </c>
      <c r="B93" s="9">
        <v>512.89</v>
      </c>
      <c r="C93" s="9">
        <v>460.23</v>
      </c>
      <c r="D93" s="9">
        <v>87.12</v>
      </c>
      <c r="E93" s="9">
        <v>190.86</v>
      </c>
      <c r="F93" s="9">
        <v>324.26</v>
      </c>
      <c r="G93" s="10">
        <v>17.885999999999999</v>
      </c>
      <c r="H93" s="10">
        <v>17.077000000000002</v>
      </c>
      <c r="I93" s="10">
        <v>2.9990000000000001</v>
      </c>
      <c r="J93" s="9">
        <v>292.82</v>
      </c>
      <c r="K93" s="9">
        <v>318.93</v>
      </c>
      <c r="L93" s="9">
        <v>295.95999999999998</v>
      </c>
      <c r="M93" s="9">
        <v>182.93</v>
      </c>
      <c r="N93">
        <v>1</v>
      </c>
      <c r="O93" t="str">
        <f t="shared" si="2"/>
        <v>2025-09</v>
      </c>
    </row>
    <row r="94" spans="1:15">
      <c r="A94" s="8">
        <v>45936</v>
      </c>
      <c r="B94" s="9">
        <v>529.11</v>
      </c>
      <c r="C94" s="9">
        <v>465.55</v>
      </c>
      <c r="D94" s="9">
        <v>82.85</v>
      </c>
      <c r="E94" s="9">
        <v>207.63</v>
      </c>
      <c r="F94" s="9">
        <v>340.57</v>
      </c>
      <c r="G94" s="10">
        <v>17.422000000000001</v>
      </c>
      <c r="H94" s="10">
        <v>17.170999999999999</v>
      </c>
      <c r="I94" s="10">
        <v>2.988</v>
      </c>
      <c r="J94" s="9">
        <v>294.38</v>
      </c>
      <c r="K94" s="9">
        <v>331.65</v>
      </c>
      <c r="L94" s="9">
        <v>298.85000000000002</v>
      </c>
      <c r="M94" s="9">
        <v>196.26</v>
      </c>
      <c r="N94">
        <v>1</v>
      </c>
      <c r="O94" t="str">
        <f t="shared" si="2"/>
        <v>2025-10</v>
      </c>
    </row>
    <row r="95" spans="1:15">
      <c r="A95" s="8">
        <v>45943</v>
      </c>
      <c r="B95" s="9">
        <v>514.29</v>
      </c>
      <c r="C95" s="9">
        <v>455.8</v>
      </c>
      <c r="D95" s="9">
        <v>81.88</v>
      </c>
      <c r="E95" s="9">
        <v>209.69</v>
      </c>
      <c r="F95" s="9">
        <v>332.68</v>
      </c>
      <c r="G95" s="10">
        <v>17.831</v>
      </c>
      <c r="H95" s="10">
        <v>17.219000000000001</v>
      </c>
      <c r="I95" s="10">
        <v>3.03</v>
      </c>
      <c r="J95" s="9">
        <v>293.86</v>
      </c>
      <c r="K95" s="9">
        <v>325.49</v>
      </c>
      <c r="L95" s="9">
        <v>297.64999999999998</v>
      </c>
      <c r="M95" s="9">
        <v>182.64</v>
      </c>
      <c r="N95">
        <v>1</v>
      </c>
      <c r="O95" t="str">
        <f t="shared" si="2"/>
        <v>2025-10</v>
      </c>
    </row>
    <row r="96" spans="1:15">
      <c r="A96" s="8">
        <v>45950</v>
      </c>
      <c r="B96" s="9">
        <v>508.01</v>
      </c>
      <c r="C96" s="9">
        <v>464.88</v>
      </c>
      <c r="D96" s="9">
        <v>85.62</v>
      </c>
      <c r="E96" s="9">
        <v>196.94</v>
      </c>
      <c r="F96" s="9">
        <v>344.63</v>
      </c>
      <c r="G96" s="10">
        <v>18.376000000000001</v>
      </c>
      <c r="H96" s="10">
        <v>16.818999999999999</v>
      </c>
      <c r="I96" s="10">
        <v>3.1549999999999998</v>
      </c>
      <c r="J96" s="9">
        <v>293.47000000000003</v>
      </c>
      <c r="K96" s="9">
        <v>334.81</v>
      </c>
      <c r="L96" s="9">
        <v>298.43</v>
      </c>
      <c r="M96" s="9">
        <v>175.59</v>
      </c>
      <c r="N96">
        <v>1</v>
      </c>
      <c r="O96" t="str">
        <f t="shared" si="2"/>
        <v>2025-10</v>
      </c>
    </row>
    <row r="97" spans="1:15">
      <c r="A97" s="8">
        <v>45957</v>
      </c>
      <c r="B97" s="9">
        <v>512.27</v>
      </c>
      <c r="C97" s="9">
        <v>472.59</v>
      </c>
      <c r="D97" s="9">
        <v>85.52</v>
      </c>
      <c r="E97" s="9">
        <v>223.09</v>
      </c>
      <c r="F97" s="9">
        <v>334</v>
      </c>
      <c r="G97" s="10">
        <v>18.343</v>
      </c>
      <c r="H97" s="10">
        <v>17.582999999999998</v>
      </c>
      <c r="I97" s="10">
        <v>3.1309999999999998</v>
      </c>
      <c r="J97" s="9">
        <v>306.37</v>
      </c>
      <c r="K97" s="9">
        <v>326.52</v>
      </c>
      <c r="L97" s="9">
        <v>308.79000000000002</v>
      </c>
      <c r="M97" s="9">
        <v>169.48</v>
      </c>
      <c r="N97">
        <v>1</v>
      </c>
      <c r="O97" t="str">
        <f t="shared" si="2"/>
        <v>2025-10</v>
      </c>
    </row>
    <row r="98" spans="1:15">
      <c r="A98" s="8">
        <v>45964</v>
      </c>
      <c r="B98" s="9">
        <v>520.33000000000004</v>
      </c>
      <c r="C98" s="9">
        <v>462.45</v>
      </c>
      <c r="D98" s="9">
        <v>89.91</v>
      </c>
      <c r="E98" s="9">
        <v>213.2</v>
      </c>
      <c r="F98" s="9">
        <v>343.83</v>
      </c>
      <c r="G98" s="10">
        <v>18.192</v>
      </c>
      <c r="H98" s="10">
        <v>17.117000000000001</v>
      </c>
      <c r="I98" s="10">
        <v>3.0209999999999999</v>
      </c>
      <c r="J98" s="9">
        <v>308.45</v>
      </c>
      <c r="K98" s="9">
        <v>334.19</v>
      </c>
      <c r="L98" s="9">
        <v>311.52999999999997</v>
      </c>
      <c r="M98" s="9">
        <v>174.8</v>
      </c>
      <c r="N98">
        <v>1</v>
      </c>
      <c r="O98" t="str">
        <f t="shared" ref="O98:O105" si="3">TEXT(A98,"yyyy-mm")</f>
        <v>2025-11</v>
      </c>
    </row>
    <row r="99" spans="1:15">
      <c r="A99" s="8">
        <v>45971</v>
      </c>
      <c r="B99" s="9">
        <v>516.24</v>
      </c>
      <c r="C99" s="9">
        <v>450.31</v>
      </c>
      <c r="D99" s="9">
        <v>85.1</v>
      </c>
      <c r="E99" s="9">
        <v>234.44</v>
      </c>
      <c r="F99" s="9">
        <v>340.22</v>
      </c>
      <c r="G99" s="10">
        <v>18.033999999999999</v>
      </c>
      <c r="H99" s="10">
        <v>17.114999999999998</v>
      </c>
      <c r="I99" s="10">
        <v>3.1040000000000001</v>
      </c>
      <c r="J99" s="9">
        <v>311.39</v>
      </c>
      <c r="K99" s="9">
        <v>331.37</v>
      </c>
      <c r="L99" s="9">
        <v>313.79000000000002</v>
      </c>
      <c r="M99" s="9">
        <v>168.45</v>
      </c>
      <c r="N99">
        <v>1</v>
      </c>
      <c r="O99" t="str">
        <f t="shared" si="3"/>
        <v>2025-11</v>
      </c>
    </row>
    <row r="100" spans="1:15">
      <c r="A100" s="8">
        <v>45978</v>
      </c>
      <c r="B100" s="9">
        <v>519.27</v>
      </c>
      <c r="C100" s="9">
        <v>440.35</v>
      </c>
      <c r="D100" s="9">
        <v>87.44</v>
      </c>
      <c r="E100" s="9">
        <v>229.42</v>
      </c>
      <c r="F100" s="9">
        <v>333.6</v>
      </c>
      <c r="G100" s="10">
        <v>17.939</v>
      </c>
      <c r="H100" s="10">
        <v>17.254000000000001</v>
      </c>
      <c r="I100" s="10">
        <v>3.1269999999999998</v>
      </c>
      <c r="J100" s="9">
        <v>312.62</v>
      </c>
      <c r="K100" s="9">
        <v>326.2</v>
      </c>
      <c r="L100" s="9">
        <v>314.25</v>
      </c>
      <c r="M100" s="9">
        <v>171.03</v>
      </c>
      <c r="N100">
        <v>1</v>
      </c>
      <c r="O100" t="str">
        <f t="shared" si="3"/>
        <v>2025-11</v>
      </c>
    </row>
    <row r="101" spans="1:15">
      <c r="A101" s="8">
        <v>45985</v>
      </c>
      <c r="B101" s="9">
        <v>523</v>
      </c>
      <c r="C101" s="9">
        <v>463.7</v>
      </c>
      <c r="D101" s="9">
        <v>93.17</v>
      </c>
      <c r="E101" s="9">
        <v>235.64</v>
      </c>
      <c r="F101" s="9">
        <v>339.93</v>
      </c>
      <c r="G101" s="10">
        <v>18.652999999999999</v>
      </c>
      <c r="H101" s="10">
        <v>17.602</v>
      </c>
      <c r="I101" s="10">
        <v>3.0539999999999998</v>
      </c>
      <c r="J101" s="9">
        <v>324.89999999999998</v>
      </c>
      <c r="K101" s="9">
        <v>331.14</v>
      </c>
      <c r="L101" s="9">
        <v>325.64999999999998</v>
      </c>
      <c r="M101" s="9">
        <v>163.36000000000001</v>
      </c>
      <c r="N101">
        <v>1</v>
      </c>
      <c r="O101" t="str">
        <f t="shared" si="3"/>
        <v>2025-11</v>
      </c>
    </row>
    <row r="102" spans="1:15">
      <c r="A102" s="8">
        <v>45992</v>
      </c>
      <c r="B102" s="9">
        <v>518.97</v>
      </c>
      <c r="C102" s="9">
        <v>471.35</v>
      </c>
      <c r="D102" s="9">
        <v>92.89</v>
      </c>
      <c r="E102" s="9">
        <v>236.39</v>
      </c>
      <c r="F102" s="9">
        <v>343.21</v>
      </c>
      <c r="G102" s="10">
        <v>18.852</v>
      </c>
      <c r="H102" s="10">
        <v>17.266999999999999</v>
      </c>
      <c r="I102" s="10">
        <v>3.149</v>
      </c>
      <c r="J102" s="9">
        <v>324.83</v>
      </c>
      <c r="K102" s="9">
        <v>333.7</v>
      </c>
      <c r="L102" s="9">
        <v>325.89</v>
      </c>
      <c r="M102" s="9">
        <v>159.08000000000001</v>
      </c>
      <c r="N102">
        <v>1</v>
      </c>
      <c r="O102" t="str">
        <f t="shared" si="3"/>
        <v>2025-12</v>
      </c>
    </row>
    <row r="103" spans="1:15">
      <c r="A103" s="8">
        <v>45999</v>
      </c>
      <c r="B103" s="9">
        <v>529.63</v>
      </c>
      <c r="C103" s="9">
        <v>473.91</v>
      </c>
      <c r="D103" s="9">
        <v>89.53</v>
      </c>
      <c r="E103" s="9">
        <v>232.74</v>
      </c>
      <c r="F103" s="9">
        <v>332.22</v>
      </c>
      <c r="G103" s="10">
        <v>18.866</v>
      </c>
      <c r="H103" s="10">
        <v>17.533999999999999</v>
      </c>
      <c r="I103" s="10">
        <v>3.2050000000000001</v>
      </c>
      <c r="J103" s="9">
        <v>317.61</v>
      </c>
      <c r="K103" s="9">
        <v>325.13</v>
      </c>
      <c r="L103" s="9">
        <v>318.52</v>
      </c>
      <c r="M103" s="9">
        <v>177.11</v>
      </c>
      <c r="N103">
        <v>1</v>
      </c>
      <c r="O103" t="str">
        <f t="shared" si="3"/>
        <v>2025-12</v>
      </c>
    </row>
    <row r="104" spans="1:15">
      <c r="A104" s="8">
        <v>46006</v>
      </c>
      <c r="B104" s="9">
        <v>528.75</v>
      </c>
      <c r="C104" s="9">
        <v>484.29</v>
      </c>
      <c r="D104" s="9">
        <v>89.02</v>
      </c>
      <c r="E104" s="9">
        <v>229.24</v>
      </c>
      <c r="F104" s="9">
        <v>339</v>
      </c>
      <c r="G104" s="10">
        <v>18.384</v>
      </c>
      <c r="H104" s="10">
        <v>17.722000000000001</v>
      </c>
      <c r="I104" s="10">
        <v>3.2210000000000001</v>
      </c>
      <c r="J104" s="9">
        <v>315.05</v>
      </c>
      <c r="K104" s="9">
        <v>330.42</v>
      </c>
      <c r="L104" s="9">
        <v>316.89</v>
      </c>
      <c r="M104" s="9">
        <v>177.86</v>
      </c>
      <c r="N104">
        <v>1</v>
      </c>
      <c r="O104" t="str">
        <f t="shared" si="3"/>
        <v>2025-12</v>
      </c>
    </row>
    <row r="105" spans="1:15">
      <c r="A105" s="8">
        <v>46013</v>
      </c>
      <c r="B105" s="9">
        <v>532.79</v>
      </c>
      <c r="C105" s="9">
        <v>475.74</v>
      </c>
      <c r="D105" s="9">
        <v>95.23</v>
      </c>
      <c r="E105" s="9">
        <v>242.26</v>
      </c>
      <c r="F105" s="9">
        <v>351.57</v>
      </c>
      <c r="G105" s="10">
        <v>18.811</v>
      </c>
      <c r="H105" s="10">
        <v>17.829999999999998</v>
      </c>
      <c r="I105" s="10">
        <v>3.234</v>
      </c>
      <c r="J105" s="9">
        <v>331.49</v>
      </c>
      <c r="K105" s="9">
        <v>340.22</v>
      </c>
      <c r="L105" s="9">
        <v>332.54</v>
      </c>
      <c r="M105" s="9">
        <v>166.25</v>
      </c>
      <c r="N105">
        <v>1</v>
      </c>
      <c r="O105" t="str">
        <f t="shared" si="3"/>
        <v>2025-12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2"/>
  <sheetViews>
    <sheetView workbookViewId="0">
      <selection sqref="A1:H1"/>
    </sheetView>
  </sheetViews>
  <sheetFormatPr baseColWidth="10" defaultColWidth="8.83203125" defaultRowHeight="14"/>
  <cols>
    <col min="1" max="1" width="69.83203125" customWidth="1"/>
    <col min="2" max="2" width="4.1640625" customWidth="1"/>
    <col min="3" max="3" width="9.1640625" customWidth="1"/>
    <col min="4" max="4" width="8.33203125" customWidth="1"/>
    <col min="5" max="5" width="9.1640625" customWidth="1"/>
    <col min="6" max="6" width="11.1640625" customWidth="1"/>
    <col min="7" max="7" width="10.6640625" customWidth="1"/>
    <col min="8" max="8" width="8.1640625" customWidth="1"/>
  </cols>
  <sheetData>
    <row r="1" spans="1:8" ht="32" customHeight="1">
      <c r="A1" s="17" t="s">
        <v>81</v>
      </c>
      <c r="B1" s="17"/>
      <c r="C1" s="17"/>
      <c r="D1" s="17"/>
      <c r="E1" s="17"/>
      <c r="F1" s="17"/>
      <c r="G1" s="17"/>
      <c r="H1" s="17"/>
    </row>
    <row r="2" spans="1:8" ht="20" customHeight="1">
      <c r="A2" s="18" t="s">
        <v>82</v>
      </c>
      <c r="B2" s="18"/>
      <c r="C2" s="18"/>
      <c r="D2" s="18"/>
      <c r="E2" s="18"/>
      <c r="F2" s="18"/>
      <c r="G2" s="18"/>
      <c r="H2" s="18"/>
    </row>
    <row r="4" spans="1:8" ht="20" customHeight="1">
      <c r="A4" s="1" t="s">
        <v>38</v>
      </c>
      <c r="B4" s="4" t="s">
        <v>83</v>
      </c>
      <c r="C4" s="4" t="s">
        <v>84</v>
      </c>
      <c r="D4" s="4" t="s">
        <v>85</v>
      </c>
      <c r="E4" s="4" t="s">
        <v>86</v>
      </c>
      <c r="F4" s="4" t="s">
        <v>87</v>
      </c>
      <c r="G4" s="4" t="s">
        <v>88</v>
      </c>
      <c r="H4" s="2" t="s">
        <v>89</v>
      </c>
    </row>
    <row r="5" spans="1:8" ht="20" customHeight="1">
      <c r="A5" t="s">
        <v>44</v>
      </c>
      <c r="B5">
        <v>2025</v>
      </c>
      <c r="C5" s="3">
        <f>980*(1+INDEX(Assumptions!$B$5:$B$7,MATCH(A5,Assumptions!$A$5:$A$7,0)))^(B5-2025)</f>
        <v>980</v>
      </c>
      <c r="D5" s="3">
        <f>995*(1+INDEX(Assumptions!$C$5:$C$7,MATCH(A5,Assumptions!$A$5:$A$7,0)))^(B5-2025)</f>
        <v>995</v>
      </c>
      <c r="E5" s="3">
        <f t="shared" ref="E5:E22" si="0">D5-C5</f>
        <v>15</v>
      </c>
      <c r="F5" s="3">
        <f>520*(1+INDEX(Assumptions!$E$5:$E$7,MATCH(A5,Assumptions!$A$5:$A$7,0)))^(B5-2025)*(1+INDEX(Assumptions!$D$5:$D$7,MATCH(A5,Assumptions!$A$5:$A$7,0))*(C5-D5)/D5)</f>
        <v>515.6884422110553</v>
      </c>
      <c r="G5" s="3">
        <f>455*(1+INDEX(Assumptions!$E$5:$E$7,MATCH(A5,Assumptions!$A$5:$A$7,0)))^(B5-2025)*(1-0.025*(B5-2025)*(INDEX(Assumptions!$F$5:$F$7,MATCH(A5,Assumptions!$A$5:$A$7,0))-15%))</f>
        <v>455</v>
      </c>
      <c r="H5" s="3">
        <f t="shared" ref="H5:H22" si="1">F5-G5</f>
        <v>60.688442211055303</v>
      </c>
    </row>
    <row r="6" spans="1:8" ht="20" customHeight="1">
      <c r="A6" t="s">
        <v>44</v>
      </c>
      <c r="B6">
        <v>2026</v>
      </c>
      <c r="C6" s="3">
        <f>980*(1+INDEX(Assumptions!$B$5:$B$7,MATCH(A6,Assumptions!$A$5:$A$7,0)))^(B6-2025)</f>
        <v>955.5</v>
      </c>
      <c r="D6" s="3">
        <f>995*(1+INDEX(Assumptions!$C$5:$C$7,MATCH(A6,Assumptions!$A$5:$A$7,0)))^(B6-2025)</f>
        <v>983.06</v>
      </c>
      <c r="E6" s="3">
        <f t="shared" si="0"/>
        <v>27.559999999999945</v>
      </c>
      <c r="F6" s="3">
        <f>520*(1+INDEX(Assumptions!$E$5:$E$7,MATCH(A6,Assumptions!$A$5:$A$7,0)))^(B6-2025)*(1+INDEX(Assumptions!$D$5:$D$7,MATCH(A6,Assumptions!$A$5:$A$7,0))*(C6-D6)/D6)</f>
        <v>517.10183549325586</v>
      </c>
      <c r="G6" s="3">
        <f>455*(1+INDEX(Assumptions!$E$5:$E$7,MATCH(A6,Assumptions!$A$5:$A$7,0)))^(B6-2025)*(1-0.025*(B6-2025)*(INDEX(Assumptions!$F$5:$F$7,MATCH(A6,Assumptions!$A$5:$A$7,0))-15%))</f>
        <v>458.97556250000002</v>
      </c>
      <c r="H6" s="3">
        <f t="shared" si="1"/>
        <v>58.126272993255839</v>
      </c>
    </row>
    <row r="7" spans="1:8" ht="20" customHeight="1">
      <c r="A7" t="s">
        <v>44</v>
      </c>
      <c r="B7">
        <v>2027</v>
      </c>
      <c r="C7" s="3">
        <f>980*(1+INDEX(Assumptions!$B$5:$B$7,MATCH(A7,Assumptions!$A$5:$A$7,0)))^(B7-2025)</f>
        <v>931.61249999999995</v>
      </c>
      <c r="D7" s="3">
        <f>995*(1+INDEX(Assumptions!$C$5:$C$7,MATCH(A7,Assumptions!$A$5:$A$7,0)))^(B7-2025)</f>
        <v>971.26328000000001</v>
      </c>
      <c r="E7" s="3">
        <f t="shared" si="0"/>
        <v>39.650780000000054</v>
      </c>
      <c r="F7" s="3">
        <f>520*(1+INDEX(Assumptions!$E$5:$E$7,MATCH(A7,Assumptions!$A$5:$A$7,0)))^(B7-2025)*(1+INDEX(Assumptions!$D$5:$D$7,MATCH(A7,Assumptions!$A$5:$A$7,0))*(C7-D7)/D7)</f>
        <v>518.54167682387003</v>
      </c>
      <c r="G7" s="3">
        <f>455*(1+INDEX(Assumptions!$E$5:$E$7,MATCH(A7,Assumptions!$A$5:$A$7,0)))^(B7-2025)*(1-0.025*(B7-2025)*(INDEX(Assumptions!$F$5:$F$7,MATCH(A7,Assumptions!$A$5:$A$7,0))-15%))</f>
        <v>462.98513625000004</v>
      </c>
      <c r="H7" s="3">
        <f t="shared" si="1"/>
        <v>55.556540573869995</v>
      </c>
    </row>
    <row r="8" spans="1:8" ht="20" customHeight="1">
      <c r="A8" t="s">
        <v>44</v>
      </c>
      <c r="B8">
        <v>2028</v>
      </c>
      <c r="C8" s="3">
        <f>980*(1+INDEX(Assumptions!$B$5:$B$7,MATCH(A8,Assumptions!$A$5:$A$7,0)))^(B8-2025)</f>
        <v>908.32218749999993</v>
      </c>
      <c r="D8" s="3">
        <f>995*(1+INDEX(Assumptions!$C$5:$C$7,MATCH(A8,Assumptions!$A$5:$A$7,0)))^(B8-2025)</f>
        <v>959.60812063999992</v>
      </c>
      <c r="E8" s="3">
        <f t="shared" si="0"/>
        <v>51.285933139999997</v>
      </c>
      <c r="F8" s="3">
        <f>520*(1+INDEX(Assumptions!$E$5:$E$7,MATCH(A8,Assumptions!$A$5:$A$7,0)))^(B8-2025)*(1+INDEX(Assumptions!$D$5:$D$7,MATCH(A8,Assumptions!$A$5:$A$7,0))*(C8-D8)/D8)</f>
        <v>520.008190176423</v>
      </c>
      <c r="G8" s="3">
        <f>455*(1+INDEX(Assumptions!$E$5:$E$7,MATCH(A8,Assumptions!$A$5:$A$7,0)))^(B8-2025)*(1-0.025*(B8-2025)*(INDEX(Assumptions!$F$5:$F$7,MATCH(A8,Assumptions!$A$5:$A$7,0))-15%))</f>
        <v>467.02900391874994</v>
      </c>
      <c r="H8" s="3">
        <f t="shared" si="1"/>
        <v>52.979186257673064</v>
      </c>
    </row>
    <row r="9" spans="1:8" ht="20" customHeight="1">
      <c r="A9" t="s">
        <v>44</v>
      </c>
      <c r="B9">
        <v>2029</v>
      </c>
      <c r="C9" s="3">
        <f>980*(1+INDEX(Assumptions!$B$5:$B$7,MATCH(A9,Assumptions!$A$5:$A$7,0)))^(B9-2025)</f>
        <v>885.61413281249986</v>
      </c>
      <c r="D9" s="3">
        <f>995*(1+INDEX(Assumptions!$C$5:$C$7,MATCH(A9,Assumptions!$A$5:$A$7,0)))^(B9-2025)</f>
        <v>948.09282319232</v>
      </c>
      <c r="E9" s="3">
        <f t="shared" si="0"/>
        <v>62.478690379820137</v>
      </c>
      <c r="F9" s="3">
        <f>520*(1+INDEX(Assumptions!$E$5:$E$7,MATCH(A9,Assumptions!$A$5:$A$7,0)))^(B9-2025)*(1+INDEX(Assumptions!$D$5:$D$7,MATCH(A9,Assumptions!$A$5:$A$7,0))*(C9-D9)/D9)</f>
        <v>521.50160189742166</v>
      </c>
      <c r="G9" s="3">
        <f>455*(1+INDEX(Assumptions!$E$5:$E$7,MATCH(A9,Assumptions!$A$5:$A$7,0)))^(B9-2025)*(1-0.025*(B9-2025)*(INDEX(Assumptions!$F$5:$F$7,MATCH(A9,Assumptions!$A$5:$A$7,0))-15%))</f>
        <v>471.10745042725</v>
      </c>
      <c r="H9" s="3">
        <f t="shared" si="1"/>
        <v>50.394151470171664</v>
      </c>
    </row>
    <row r="10" spans="1:8" ht="20" customHeight="1">
      <c r="A10" t="s">
        <v>44</v>
      </c>
      <c r="B10">
        <v>2030</v>
      </c>
      <c r="C10" s="3">
        <f>980*(1+INDEX(Assumptions!$B$5:$B$7,MATCH(A10,Assumptions!$A$5:$A$7,0)))^(B10-2025)</f>
        <v>863.47377949218742</v>
      </c>
      <c r="D10" s="3">
        <f>995*(1+INDEX(Assumptions!$C$5:$C$7,MATCH(A10,Assumptions!$A$5:$A$7,0)))^(B10-2025)</f>
        <v>936.7157093140122</v>
      </c>
      <c r="E10" s="3">
        <f t="shared" si="0"/>
        <v>73.241929821824783</v>
      </c>
      <c r="F10" s="3">
        <f>520*(1+INDEX(Assumptions!$E$5:$E$7,MATCH(A10,Assumptions!$A$5:$A$7,0)))^(B10-2025)*(1+INDEX(Assumptions!$D$5:$D$7,MATCH(A10,Assumptions!$A$5:$A$7,0))*(C10-D10)/D10)</f>
        <v>523.02214072964591</v>
      </c>
      <c r="G10" s="3">
        <f>455*(1+INDEX(Assumptions!$E$5:$E$7,MATCH(A10,Assumptions!$A$5:$A$7,0)))^(B10-2025)*(1-0.025*(B10-2025)*(INDEX(Assumptions!$F$5:$F$7,MATCH(A10,Assumptions!$A$5:$A$7,0))-15%))</f>
        <v>475.22076296552814</v>
      </c>
      <c r="H10" s="3">
        <f t="shared" si="1"/>
        <v>47.801377764117774</v>
      </c>
    </row>
    <row r="11" spans="1:8" ht="20" customHeight="1">
      <c r="A11" t="s">
        <v>45</v>
      </c>
      <c r="B11">
        <v>2025</v>
      </c>
      <c r="C11" s="3">
        <f>980*(1+INDEX(Assumptions!$B$5:$B$7,MATCH(A11,Assumptions!$A$5:$A$7,0)))^(B11-2025)</f>
        <v>980</v>
      </c>
      <c r="D11" s="3">
        <f>995*(1+INDEX(Assumptions!$C$5:$C$7,MATCH(A11,Assumptions!$A$5:$A$7,0)))^(B11-2025)</f>
        <v>995</v>
      </c>
      <c r="E11" s="3">
        <f t="shared" si="0"/>
        <v>15</v>
      </c>
      <c r="F11" s="3">
        <f>520*(1+INDEX(Assumptions!$E$5:$E$7,MATCH(A11,Assumptions!$A$5:$A$7,0)))^(B11-2025)*(1+INDEX(Assumptions!$D$5:$D$7,MATCH(A11,Assumptions!$A$5:$A$7,0))*(C11-D11)/D11)</f>
        <v>514.9045226130653</v>
      </c>
      <c r="G11" s="3">
        <f>455*(1+INDEX(Assumptions!$E$5:$E$7,MATCH(A11,Assumptions!$A$5:$A$7,0)))^(B11-2025)*(1-0.025*(B11-2025)*(INDEX(Assumptions!$F$5:$F$7,MATCH(A11,Assumptions!$A$5:$A$7,0))-15%))</f>
        <v>455</v>
      </c>
      <c r="H11" s="3">
        <f t="shared" si="1"/>
        <v>59.904522613065296</v>
      </c>
    </row>
    <row r="12" spans="1:8" ht="20" customHeight="1">
      <c r="A12" t="s">
        <v>45</v>
      </c>
      <c r="B12">
        <v>2026</v>
      </c>
      <c r="C12" s="3">
        <f>980*(1+INDEX(Assumptions!$B$5:$B$7,MATCH(A12,Assumptions!$A$5:$A$7,0)))^(B12-2025)</f>
        <v>970.2</v>
      </c>
      <c r="D12" s="3">
        <f>995*(1+INDEX(Assumptions!$C$5:$C$7,MATCH(A12,Assumptions!$A$5:$A$7,0)))^(B12-2025)</f>
        <v>987.04</v>
      </c>
      <c r="E12" s="3">
        <f t="shared" si="0"/>
        <v>16.839999999999918</v>
      </c>
      <c r="F12" s="3">
        <f>520*(1+INDEX(Assumptions!$E$5:$E$7,MATCH(A12,Assumptions!$A$5:$A$7,0)))^(B12-2025)*(1+INDEX(Assumptions!$D$5:$D$7,MATCH(A12,Assumptions!$A$5:$A$7,0))*(C12-D12)/D12)</f>
        <v>521.94684430215591</v>
      </c>
      <c r="G12" s="3">
        <f>455*(1+INDEX(Assumptions!$E$5:$E$7,MATCH(A12,Assumptions!$A$5:$A$7,0)))^(B12-2025)*(1-0.025*(B12-2025)*(INDEX(Assumptions!$F$5:$F$7,MATCH(A12,Assumptions!$A$5:$A$7,0))-15%))</f>
        <v>460.90134999999992</v>
      </c>
      <c r="H12" s="3">
        <f t="shared" si="1"/>
        <v>61.045494302155987</v>
      </c>
    </row>
    <row r="13" spans="1:8" ht="20" customHeight="1">
      <c r="A13" t="s">
        <v>45</v>
      </c>
      <c r="B13">
        <v>2027</v>
      </c>
      <c r="C13" s="3">
        <f>980*(1+INDEX(Assumptions!$B$5:$B$7,MATCH(A13,Assumptions!$A$5:$A$7,0)))^(B13-2025)</f>
        <v>960.49799999999993</v>
      </c>
      <c r="D13" s="3">
        <f>995*(1+INDEX(Assumptions!$C$5:$C$7,MATCH(A13,Assumptions!$A$5:$A$7,0)))^(B13-2025)</f>
        <v>979.1436799999999</v>
      </c>
      <c r="E13" s="3">
        <f t="shared" si="0"/>
        <v>18.64567999999997</v>
      </c>
      <c r="F13" s="3">
        <f>520*(1+INDEX(Assumptions!$E$5:$E$7,MATCH(A13,Assumptions!$A$5:$A$7,0)))^(B13-2025)*(1+INDEX(Assumptions!$D$5:$D$7,MATCH(A13,Assumptions!$A$5:$A$7,0))*(C13-D13)/D13)</f>
        <v>529.08597620667467</v>
      </c>
      <c r="G13" s="3">
        <f>455*(1+INDEX(Assumptions!$E$5:$E$7,MATCH(A13,Assumptions!$A$5:$A$7,0)))^(B13-2025)*(1-0.025*(B13-2025)*(INDEX(Assumptions!$F$5:$F$7,MATCH(A13,Assumptions!$A$5:$A$7,0))-15%))</f>
        <v>466.87736549999988</v>
      </c>
      <c r="H13" s="3">
        <f t="shared" si="1"/>
        <v>62.20861070667479</v>
      </c>
    </row>
    <row r="14" spans="1:8" ht="20" customHeight="1">
      <c r="A14" t="s">
        <v>45</v>
      </c>
      <c r="B14">
        <v>2028</v>
      </c>
      <c r="C14" s="3">
        <f>980*(1+INDEX(Assumptions!$B$5:$B$7,MATCH(A14,Assumptions!$A$5:$A$7,0)))^(B14-2025)</f>
        <v>950.89301999999986</v>
      </c>
      <c r="D14" s="3">
        <f>995*(1+INDEX(Assumptions!$C$5:$C$7,MATCH(A14,Assumptions!$A$5:$A$7,0)))^(B14-2025)</f>
        <v>971.31053055999985</v>
      </c>
      <c r="E14" s="3">
        <f t="shared" si="0"/>
        <v>20.417510559999982</v>
      </c>
      <c r="F14" s="3">
        <f>520*(1+INDEX(Assumptions!$E$5:$E$7,MATCH(A14,Assumptions!$A$5:$A$7,0)))^(B14-2025)*(1+INDEX(Assumptions!$D$5:$D$7,MATCH(A14,Assumptions!$A$5:$A$7,0))*(C14-D14)/D14)</f>
        <v>536.32325616912999</v>
      </c>
      <c r="G14" s="3">
        <f>455*(1+INDEX(Assumptions!$E$5:$E$7,MATCH(A14,Assumptions!$A$5:$A$7,0)))^(B14-2025)*(1-0.025*(B14-2025)*(INDEX(Assumptions!$F$5:$F$7,MATCH(A14,Assumptions!$A$5:$A$7,0))-15%))</f>
        <v>472.92895866124979</v>
      </c>
      <c r="H14" s="3">
        <f t="shared" si="1"/>
        <v>63.394297507880196</v>
      </c>
    </row>
    <row r="15" spans="1:8" ht="20" customHeight="1">
      <c r="A15" t="s">
        <v>45</v>
      </c>
      <c r="B15">
        <v>2029</v>
      </c>
      <c r="C15" s="3">
        <f>980*(1+INDEX(Assumptions!$B$5:$B$7,MATCH(A15,Assumptions!$A$5:$A$7,0)))^(B15-2025)</f>
        <v>941.38408979999997</v>
      </c>
      <c r="D15" s="3">
        <f>995*(1+INDEX(Assumptions!$C$5:$C$7,MATCH(A15,Assumptions!$A$5:$A$7,0)))^(B15-2025)</f>
        <v>963.54004631551982</v>
      </c>
      <c r="E15" s="3">
        <f t="shared" si="0"/>
        <v>22.155956515519847</v>
      </c>
      <c r="F15" s="3">
        <f>520*(1+INDEX(Assumptions!$E$5:$E$7,MATCH(A15,Assumptions!$A$5:$A$7,0)))^(B15-2025)*(1+INDEX(Assumptions!$D$5:$D$7,MATCH(A15,Assumptions!$A$5:$A$7,0))*(C15-D15)/D15)</f>
        <v>543.6600406189292</v>
      </c>
      <c r="G15" s="3">
        <f>455*(1+INDEX(Assumptions!$E$5:$E$7,MATCH(A15,Assumptions!$A$5:$A$7,0)))^(B15-2025)*(1-0.025*(B15-2025)*(INDEX(Assumptions!$F$5:$F$7,MATCH(A15,Assumptions!$A$5:$A$7,0))-15%))</f>
        <v>479.05705221009976</v>
      </c>
      <c r="H15" s="3">
        <f t="shared" si="1"/>
        <v>64.602988408829447</v>
      </c>
    </row>
    <row r="16" spans="1:8" ht="20" customHeight="1">
      <c r="A16" t="s">
        <v>45</v>
      </c>
      <c r="B16">
        <v>2030</v>
      </c>
      <c r="C16" s="3">
        <f>980*(1+INDEX(Assumptions!$B$5:$B$7,MATCH(A16,Assumptions!$A$5:$A$7,0)))^(B16-2025)</f>
        <v>931.97024890199987</v>
      </c>
      <c r="D16" s="3">
        <f>995*(1+INDEX(Assumptions!$C$5:$C$7,MATCH(A16,Assumptions!$A$5:$A$7,0)))^(B16-2025)</f>
        <v>955.8317259449957</v>
      </c>
      <c r="E16" s="3">
        <f t="shared" si="0"/>
        <v>23.86147704299583</v>
      </c>
      <c r="F16" s="3">
        <f>520*(1+INDEX(Assumptions!$E$5:$E$7,MATCH(A16,Assumptions!$A$5:$A$7,0)))^(B16-2025)*(1+INDEX(Assumptions!$D$5:$D$7,MATCH(A16,Assumptions!$A$5:$A$7,0))*(C16-D16)/D16)</f>
        <v>551.09770483200077</v>
      </c>
      <c r="G16" s="3">
        <f>455*(1+INDEX(Assumptions!$E$5:$E$7,MATCH(A16,Assumptions!$A$5:$A$7,0)))^(B16-2025)*(1-0.025*(B16-2025)*(INDEX(Assumptions!$F$5:$F$7,MATCH(A16,Assumptions!$A$5:$A$7,0))-15%))</f>
        <v>485.26257954971641</v>
      </c>
      <c r="H16" s="3">
        <f t="shared" si="1"/>
        <v>65.835125282284366</v>
      </c>
    </row>
    <row r="17" spans="1:8" ht="20" customHeight="1">
      <c r="A17" t="s">
        <v>46</v>
      </c>
      <c r="B17">
        <v>2025</v>
      </c>
      <c r="C17" s="3">
        <f>980*(1+INDEX(Assumptions!$B$5:$B$7,MATCH(A17,Assumptions!$A$5:$A$7,0)))^(B17-2025)</f>
        <v>980</v>
      </c>
      <c r="D17" s="3">
        <f>995*(1+INDEX(Assumptions!$C$5:$C$7,MATCH(A17,Assumptions!$A$5:$A$7,0)))^(B17-2025)</f>
        <v>995</v>
      </c>
      <c r="E17" s="3">
        <f t="shared" si="0"/>
        <v>15</v>
      </c>
      <c r="F17" s="3">
        <f>520*(1+INDEX(Assumptions!$E$5:$E$7,MATCH(A17,Assumptions!$A$5:$A$7,0)))^(B17-2025)*(1+INDEX(Assumptions!$D$5:$D$7,MATCH(A17,Assumptions!$A$5:$A$7,0))*(C17-D17)/D17)</f>
        <v>514.1206030150754</v>
      </c>
      <c r="G17" s="3">
        <f>455*(1+INDEX(Assumptions!$E$5:$E$7,MATCH(A17,Assumptions!$A$5:$A$7,0)))^(B17-2025)*(1-0.025*(B17-2025)*(INDEX(Assumptions!$F$5:$F$7,MATCH(A17,Assumptions!$A$5:$A$7,0))-15%))</f>
        <v>455</v>
      </c>
      <c r="H17" s="3">
        <f t="shared" si="1"/>
        <v>59.120603015075403</v>
      </c>
    </row>
    <row r="18" spans="1:8" ht="20" customHeight="1">
      <c r="A18" t="s">
        <v>46</v>
      </c>
      <c r="B18">
        <v>2026</v>
      </c>
      <c r="C18" s="3">
        <f>980*(1+INDEX(Assumptions!$B$5:$B$7,MATCH(A18,Assumptions!$A$5:$A$7,0)))^(B18-2025)</f>
        <v>984.89999999999986</v>
      </c>
      <c r="D18" s="3">
        <f>995*(1+INDEX(Assumptions!$C$5:$C$7,MATCH(A18,Assumptions!$A$5:$A$7,0)))^(B18-2025)</f>
        <v>991.02</v>
      </c>
      <c r="E18" s="3">
        <f t="shared" si="0"/>
        <v>6.1200000000001182</v>
      </c>
      <c r="F18" s="3">
        <f>520*(1+INDEX(Assumptions!$E$5:$E$7,MATCH(A18,Assumptions!$A$5:$A$7,0)))^(B18-2025)*(1+INDEX(Assumptions!$D$5:$D$7,MATCH(A18,Assumptions!$A$5:$A$7,0))*(C18-D18)/D18)</f>
        <v>527.94340376581692</v>
      </c>
      <c r="G18" s="3">
        <f>455*(1+INDEX(Assumptions!$E$5:$E$7,MATCH(A18,Assumptions!$A$5:$A$7,0)))^(B18-2025)*(1-0.025*(B18-2025)*(INDEX(Assumptions!$F$5:$F$7,MATCH(A18,Assumptions!$A$5:$A$7,0))-15%))</f>
        <v>462.82372500000002</v>
      </c>
      <c r="H18" s="3">
        <f t="shared" si="1"/>
        <v>65.1196787658169</v>
      </c>
    </row>
    <row r="19" spans="1:8" ht="20" customHeight="1">
      <c r="A19" t="s">
        <v>46</v>
      </c>
      <c r="B19">
        <v>2027</v>
      </c>
      <c r="C19" s="3">
        <f>980*(1+INDEX(Assumptions!$B$5:$B$7,MATCH(A19,Assumptions!$A$5:$A$7,0)))^(B19-2025)</f>
        <v>989.82449999999972</v>
      </c>
      <c r="D19" s="3">
        <f>995*(1+INDEX(Assumptions!$C$5:$C$7,MATCH(A19,Assumptions!$A$5:$A$7,0)))^(B19-2025)</f>
        <v>987.05592000000001</v>
      </c>
      <c r="E19" s="3">
        <f t="shared" si="0"/>
        <v>-2.7685799999997016</v>
      </c>
      <c r="F19" s="3">
        <f>520*(1+INDEX(Assumptions!$E$5:$E$7,MATCH(A19,Assumptions!$A$5:$A$7,0)))^(B19-2025)*(1+INDEX(Assumptions!$D$5:$D$7,MATCH(A19,Assumptions!$A$5:$A$7,0))*(C19-D19)/D19)</f>
        <v>542.14609959873383</v>
      </c>
      <c r="G19" s="3">
        <f>455*(1+INDEX(Assumptions!$E$5:$E$7,MATCH(A19,Assumptions!$A$5:$A$7,0)))^(B19-2025)*(1-0.025*(B19-2025)*(INDEX(Assumptions!$F$5:$F$7,MATCH(A19,Assumptions!$A$5:$A$7,0))-15%))</f>
        <v>470.77839900000004</v>
      </c>
      <c r="H19" s="3">
        <f t="shared" si="1"/>
        <v>71.367700598733791</v>
      </c>
    </row>
    <row r="20" spans="1:8" ht="20" customHeight="1">
      <c r="A20" t="s">
        <v>46</v>
      </c>
      <c r="B20">
        <v>2028</v>
      </c>
      <c r="C20" s="3">
        <f>980*(1+INDEX(Assumptions!$B$5:$B$7,MATCH(A20,Assumptions!$A$5:$A$7,0)))^(B20-2025)</f>
        <v>994.77362249999965</v>
      </c>
      <c r="D20" s="3">
        <f>995*(1+INDEX(Assumptions!$C$5:$C$7,MATCH(A20,Assumptions!$A$5:$A$7,0)))^(B20-2025)</f>
        <v>983.10769631999995</v>
      </c>
      <c r="E20" s="3">
        <f t="shared" si="0"/>
        <v>-11.665926179999701</v>
      </c>
      <c r="F20" s="3">
        <f>520*(1+INDEX(Assumptions!$E$5:$E$7,MATCH(A20,Assumptions!$A$5:$A$7,0)))^(B20-2025)*(1+INDEX(Assumptions!$D$5:$D$7,MATCH(A20,Assumptions!$A$5:$A$7,0))*(C20-D20)/D20)</f>
        <v>556.73931058098594</v>
      </c>
      <c r="G20" s="3">
        <f>455*(1+INDEX(Assumptions!$E$5:$E$7,MATCH(A20,Assumptions!$A$5:$A$7,0)))^(B20-2025)*(1-0.025*(B20-2025)*(INDEX(Assumptions!$F$5:$F$7,MATCH(A20,Assumptions!$A$5:$A$7,0))-15%))</f>
        <v>478.86613046999997</v>
      </c>
      <c r="H20" s="3">
        <f t="shared" si="1"/>
        <v>77.87318011098597</v>
      </c>
    </row>
    <row r="21" spans="1:8" ht="20" customHeight="1">
      <c r="A21" t="s">
        <v>46</v>
      </c>
      <c r="B21">
        <v>2029</v>
      </c>
      <c r="C21" s="3">
        <f>980*(1+INDEX(Assumptions!$B$5:$B$7,MATCH(A21,Assumptions!$A$5:$A$7,0)))^(B21-2025)</f>
        <v>999.7474906124994</v>
      </c>
      <c r="D21" s="3">
        <f>995*(1+INDEX(Assumptions!$C$5:$C$7,MATCH(A21,Assumptions!$A$5:$A$7,0)))^(B21-2025)</f>
        <v>979.17526553471998</v>
      </c>
      <c r="E21" s="3">
        <f t="shared" si="0"/>
        <v>-20.572225077779422</v>
      </c>
      <c r="F21" s="3">
        <f>520*(1+INDEX(Assumptions!$E$5:$E$7,MATCH(A21,Assumptions!$A$5:$A$7,0)))^(B21-2025)*(1+INDEX(Assumptions!$D$5:$D$7,MATCH(A21,Assumptions!$A$5:$A$7,0))*(C21-D21)/D21)</f>
        <v>571.73395747928566</v>
      </c>
      <c r="G21" s="3">
        <f>455*(1+INDEX(Assumptions!$E$5:$E$7,MATCH(A21,Assumptions!$A$5:$A$7,0)))^(B21-2025)*(1-0.025*(B21-2025)*(INDEX(Assumptions!$F$5:$F$7,MATCH(A21,Assumptions!$A$5:$A$7,0))-15%))</f>
        <v>487.08905983919999</v>
      </c>
      <c r="H21" s="3">
        <f t="shared" si="1"/>
        <v>84.644897640085674</v>
      </c>
    </row>
    <row r="22" spans="1:8" ht="20" customHeight="1">
      <c r="A22" t="s">
        <v>46</v>
      </c>
      <c r="B22">
        <v>2030</v>
      </c>
      <c r="C22" s="3">
        <f>980*(1+INDEX(Assumptions!$B$5:$B$7,MATCH(A22,Assumptions!$A$5:$A$7,0)))^(B22-2025)</f>
        <v>1004.7462280655617</v>
      </c>
      <c r="D22" s="3">
        <f>995*(1+INDEX(Assumptions!$C$5:$C$7,MATCH(A22,Assumptions!$A$5:$A$7,0)))^(B22-2025)</f>
        <v>975.25856447258104</v>
      </c>
      <c r="E22" s="3">
        <f t="shared" si="0"/>
        <v>-29.487663592980653</v>
      </c>
      <c r="F22" s="3">
        <f>520*(1+INDEX(Assumptions!$E$5:$E$7,MATCH(A22,Assumptions!$A$5:$A$7,0)))^(B22-2025)*(1+INDEX(Assumptions!$D$5:$D$7,MATCH(A22,Assumptions!$A$5:$A$7,0))*(C22-D22)/D22)</f>
        <v>587.14127035368665</v>
      </c>
      <c r="G22" s="3">
        <f>455*(1+INDEX(Assumptions!$E$5:$E$7,MATCH(A22,Assumptions!$A$5:$A$7,0)))^(B22-2025)*(1-0.025*(B22-2025)*(INDEX(Assumptions!$F$5:$F$7,MATCH(A22,Assumptions!$A$5:$A$7,0))-15%))</f>
        <v>495.44935993097999</v>
      </c>
      <c r="H22" s="3">
        <f t="shared" si="1"/>
        <v>91.691910422706655</v>
      </c>
    </row>
  </sheetData>
  <mergeCells count="2">
    <mergeCell ref="A1:H1"/>
    <mergeCell ref="A2:H2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3"/>
  <sheetViews>
    <sheetView workbookViewId="0"/>
  </sheetViews>
  <sheetFormatPr baseColWidth="10" defaultColWidth="8.83203125" defaultRowHeight="14"/>
  <cols>
    <col min="1" max="1" width="64.1640625" customWidth="1"/>
    <col min="2" max="2" width="6.5" customWidth="1"/>
    <col min="3" max="3" width="4.5" customWidth="1"/>
    <col min="4" max="4" width="23.1640625" customWidth="1"/>
    <col min="5" max="5" width="11.83203125" customWidth="1"/>
  </cols>
  <sheetData>
    <row r="1" spans="1:8" ht="32" customHeight="1">
      <c r="A1" s="17" t="s">
        <v>90</v>
      </c>
      <c r="B1" s="17"/>
      <c r="C1" s="17"/>
      <c r="D1" s="17"/>
      <c r="E1" s="17"/>
      <c r="F1" s="17"/>
      <c r="G1" s="17"/>
      <c r="H1" s="17"/>
    </row>
    <row r="2" spans="1:8" ht="20" customHeight="1">
      <c r="A2" s="18" t="s">
        <v>91</v>
      </c>
      <c r="B2" s="18"/>
      <c r="C2" s="18"/>
      <c r="D2" s="18"/>
      <c r="E2" s="18"/>
      <c r="F2" s="18"/>
      <c r="G2" s="18"/>
      <c r="H2" s="18"/>
    </row>
    <row r="4" spans="1:8" ht="20" customHeight="1">
      <c r="A4" s="1" t="s">
        <v>92</v>
      </c>
      <c r="B4" s="4" t="s">
        <v>93</v>
      </c>
      <c r="C4" s="4" t="s">
        <v>94</v>
      </c>
      <c r="D4" s="4" t="s">
        <v>95</v>
      </c>
      <c r="E4" s="2" t="s">
        <v>96</v>
      </c>
    </row>
    <row r="5" spans="1:8" ht="20" customHeight="1">
      <c r="A5" t="s">
        <v>97</v>
      </c>
      <c r="B5" s="11">
        <v>130.09</v>
      </c>
      <c r="C5">
        <v>1</v>
      </c>
      <c r="D5" t="s">
        <v>98</v>
      </c>
      <c r="E5" t="s">
        <v>99</v>
      </c>
    </row>
    <row r="6" spans="1:8" ht="20" customHeight="1">
      <c r="A6" t="s">
        <v>100</v>
      </c>
      <c r="B6" s="11">
        <v>59.55</v>
      </c>
      <c r="C6">
        <v>3</v>
      </c>
      <c r="D6" t="s">
        <v>101</v>
      </c>
      <c r="E6" t="s">
        <v>99</v>
      </c>
    </row>
    <row r="7" spans="1:8" ht="20" customHeight="1">
      <c r="A7" t="s">
        <v>102</v>
      </c>
      <c r="B7" s="11">
        <v>42.28</v>
      </c>
      <c r="C7">
        <v>5</v>
      </c>
      <c r="D7" t="s">
        <v>103</v>
      </c>
      <c r="E7" t="s">
        <v>99</v>
      </c>
    </row>
    <row r="8" spans="1:8" ht="20" customHeight="1">
      <c r="A8" t="s">
        <v>104</v>
      </c>
      <c r="B8" s="11">
        <v>40.22</v>
      </c>
      <c r="C8">
        <v>6</v>
      </c>
      <c r="D8" t="s">
        <v>105</v>
      </c>
      <c r="E8" t="s">
        <v>99</v>
      </c>
    </row>
    <row r="9" spans="1:8" ht="20" customHeight="1">
      <c r="A9" t="s">
        <v>106</v>
      </c>
      <c r="B9" s="11">
        <v>39.369999999999997</v>
      </c>
      <c r="C9">
        <v>7</v>
      </c>
      <c r="D9" t="s">
        <v>107</v>
      </c>
      <c r="E9" t="s">
        <v>99</v>
      </c>
    </row>
    <row r="10" spans="1:8" ht="20" customHeight="1">
      <c r="A10" t="s">
        <v>108</v>
      </c>
      <c r="B10" s="11">
        <v>31.57</v>
      </c>
      <c r="C10">
        <v>9</v>
      </c>
      <c r="D10" t="s">
        <v>109</v>
      </c>
      <c r="E10" t="s">
        <v>99</v>
      </c>
    </row>
    <row r="12" spans="1:8">
      <c r="A12" s="20" t="s">
        <v>110</v>
      </c>
      <c r="B12" s="20"/>
      <c r="C12" s="20"/>
      <c r="D12" s="20"/>
      <c r="E12" s="20"/>
    </row>
    <row r="13" spans="1:8">
      <c r="A13" s="20"/>
      <c r="B13" s="20"/>
      <c r="C13" s="20"/>
      <c r="D13" s="20"/>
      <c r="E13" s="20"/>
    </row>
  </sheetData>
  <mergeCells count="3">
    <mergeCell ref="A1:H1"/>
    <mergeCell ref="A2:H2"/>
    <mergeCell ref="A12:E13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1"/>
  <sheetViews>
    <sheetView workbookViewId="0"/>
  </sheetViews>
  <sheetFormatPr baseColWidth="10" defaultColWidth="8.83203125" defaultRowHeight="14"/>
  <cols>
    <col min="1" max="1" width="31.1640625" customWidth="1"/>
    <col min="2" max="2" width="10.33203125" customWidth="1"/>
    <col min="3" max="3" width="5.5" customWidth="1"/>
  </cols>
  <sheetData>
    <row r="1" spans="1:8" ht="32" customHeight="1">
      <c r="A1" s="17" t="s">
        <v>111</v>
      </c>
      <c r="B1" s="17"/>
      <c r="C1" s="17"/>
      <c r="D1" s="17"/>
      <c r="E1" s="17"/>
      <c r="F1" s="17"/>
      <c r="G1" s="17"/>
      <c r="H1" s="17"/>
    </row>
    <row r="2" spans="1:8" ht="20" customHeight="1">
      <c r="A2" s="18" t="s">
        <v>112</v>
      </c>
      <c r="B2" s="18"/>
      <c r="C2" s="18"/>
      <c r="D2" s="18"/>
      <c r="E2" s="18"/>
      <c r="F2" s="18"/>
      <c r="G2" s="18"/>
      <c r="H2" s="18"/>
    </row>
    <row r="4" spans="1:8" ht="20" customHeight="1">
      <c r="A4" s="1" t="s">
        <v>113</v>
      </c>
      <c r="B4" s="4" t="s">
        <v>114</v>
      </c>
      <c r="C4" s="2" t="s">
        <v>115</v>
      </c>
    </row>
    <row r="5" spans="1:8" ht="20" customHeight="1">
      <c r="A5" t="s">
        <v>116</v>
      </c>
      <c r="B5">
        <f>104</f>
        <v>104</v>
      </c>
      <c r="C5" t="str">
        <f>IF(B5=104,"PASS","FAIL")</f>
        <v>PASS</v>
      </c>
    </row>
    <row r="6" spans="1:8" ht="20" customHeight="1">
      <c r="A6" t="s">
        <v>117</v>
      </c>
      <c r="B6">
        <f>104</f>
        <v>104</v>
      </c>
      <c r="C6" t="str">
        <f>IF(B6=104,"PASS","FAIL")</f>
        <v>PASS</v>
      </c>
    </row>
    <row r="7" spans="1:8" ht="20" customHeight="1">
      <c r="A7" t="s">
        <v>118</v>
      </c>
      <c r="B7">
        <f>81.88</f>
        <v>81.88</v>
      </c>
      <c r="C7" t="str">
        <f>IF(B7&gt;0,"PASS","FAIL")</f>
        <v>PASS</v>
      </c>
    </row>
    <row r="8" spans="1:8" ht="20" customHeight="1">
      <c r="A8" t="s">
        <v>119</v>
      </c>
      <c r="B8">
        <f>-5.6843418860808E-14</f>
        <v>-5.6843418860808002E-14</v>
      </c>
      <c r="C8" t="str">
        <f>IF(ABS(B8)&lt;0.1,"PASS","FAIL")</f>
        <v>PASS</v>
      </c>
    </row>
    <row r="9" spans="1:8" ht="20" customHeight="1">
      <c r="A9" t="s">
        <v>120</v>
      </c>
      <c r="B9">
        <f>18</f>
        <v>18</v>
      </c>
      <c r="C9" t="str">
        <f>IF(B9=18,"PASS","FAIL")</f>
        <v>PASS</v>
      </c>
    </row>
    <row r="10" spans="1:8" ht="20" customHeight="1">
      <c r="A10" t="s">
        <v>121</v>
      </c>
      <c r="B10">
        <f>0</f>
        <v>0</v>
      </c>
      <c r="C10" t="str">
        <f>IF(B10=0,"PASS","FAIL")</f>
        <v>PASS</v>
      </c>
    </row>
    <row r="11" spans="1:8" ht="20" customHeight="1">
      <c r="C11" t="str">
        <f>"PASS"</f>
        <v>PASS</v>
      </c>
    </row>
  </sheetData>
  <mergeCells count="2">
    <mergeCell ref="A1:H1"/>
    <mergeCell ref="A2:H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Executive Dashboard</vt:lpstr>
      <vt:lpstr>Assumptions</vt:lpstr>
      <vt:lpstr>Detail1</vt:lpstr>
      <vt:lpstr>Pivot Summary</vt:lpstr>
      <vt:lpstr>Weekly Market</vt:lpstr>
      <vt:lpstr>Scenario Model</vt:lpstr>
      <vt:lpstr>Competitors</vt:lpstr>
      <vt:lpstr>QC Checks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Aimiao Su</cp:lastModifiedBy>
  <dcterms:modified xsi:type="dcterms:W3CDTF">2026-08-09T09:19:37Z</dcterms:modified>
</cp:coreProperties>
</file>