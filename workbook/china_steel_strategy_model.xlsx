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6d1ca9b81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d6246686e4894506"/>
    <x:sheet xmlns:r="http://schemas.openxmlformats.org/officeDocument/2006/relationships" name="Assumptions" sheetId="2" r:id="Rb3629f5a34e54d2d"/>
    <x:sheet xmlns:r="http://schemas.openxmlformats.org/officeDocument/2006/relationships" name="Weekly Market" sheetId="3" r:id="R4a0ad27338ec46da"/>
    <x:sheet xmlns:r="http://schemas.openxmlformats.org/officeDocument/2006/relationships" name="Scenario Model" sheetId="4" r:id="R1a7fcc60f3f44919"/>
    <x:sheet xmlns:r="http://schemas.openxmlformats.org/officeDocument/2006/relationships" name="Competitors" sheetId="5" r:id="R7821f2d7a0044e6a"/>
    <x:sheet xmlns:r="http://schemas.openxmlformats.org/officeDocument/2006/relationships" name="QC Checks" sheetId="6" r:id="R349c014773d147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"/>
    <x:numFmt numFmtId="201" formatCode="$#,##0"/>
    <x:numFmt numFmtId="202" formatCode="0.0%"/>
    <x:numFmt numFmtId="203" formatCode="0.00"/>
    <x:numFmt numFmtId="204" formatCode="yyyy-mm-dd"/>
    <x:numFmt numFmtId="205" formatCode="$#,##0.0"/>
    <x:numFmt numFmtId="206" formatCode="0.000"/>
  </x:numFmts>
  <x:fonts count="5">
    <x:font>
      <x:sz val="11"/>
      <x:name val="Carlito"/>
    </x:font>
    <x:font>
      <x:b/>
      <x:sz val="20"/>
      <x:color rgb="FFFFFFFF"/>
      <x:name val="Carlito"/>
    </x:font>
    <x:font>
      <x:i/>
      <x:sz val="10"/>
      <x:color rgb="FF62717B"/>
      <x:name val="Carlito"/>
    </x:font>
    <x:font>
      <x:b/>
      <x:sz val="11"/>
      <x:color rgb="FFFFFFFF"/>
      <x:name val="Carlito"/>
    </x:font>
    <x:font>
      <x:sz val="12"/>
      <x:color rgb="FF10212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43D"/>
      </x:patternFill>
    </x:fill>
    <x:fill>
      <x:patternFill patternType="solid">
        <x:fgColor rgb="FFD97706"/>
      </x:patternFill>
    </x:fill>
    <x:fill>
      <x:patternFill patternType="solid">
        <x:fgColor rgb="FFF3F6F7"/>
      </x:patternFill>
    </x:fill>
    <x:fill>
      <x:patternFill patternType="solid">
        <x:fgColor rgb="FFFFF2CC"/>
      </x:patternFill>
    </x:fill>
  </x:fills>
  <x:borders count="4">
    <x:border/>
    <x:border>
      <x:right style="thin">
        <x:color rgb="FFDCE3E6"/>
      </x:right>
    </x:border>
    <x:border>
      <x:left style="thin">
        <x:color rgb="FFDCE3E6"/>
      </x:left>
    </x:border>
    <x:border>
      <x:left style="thin">
        <x:color rgb="FFDCE3E6"/>
      </x:left>
      <x:right style="thin">
        <x:color rgb="FFDCE3E6"/>
      </x:right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203" fontId="0" fillId="5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33930dd484a04" /><Relationship Type="http://schemas.openxmlformats.org/officeDocument/2006/relationships/theme" Target="/xl/theme/theme1.xml" Id="Rda09b7690a564942" /><Relationship Type="http://schemas.openxmlformats.org/officeDocument/2006/relationships/sharedStrings" Target="/xl/sharedStrings.xml" Id="R370a5bcb33f742e1" /><Relationship Type="http://schemas.openxmlformats.org/officeDocument/2006/relationships/worksheet" Target="/xl/worksheets/sheet1.xml" Id="Rd6246686e4894506" /><Relationship Type="http://schemas.openxmlformats.org/officeDocument/2006/relationships/worksheet" Target="/xl/worksheets/sheet2.xml" Id="Rb3629f5a34e54d2d" /><Relationship Type="http://schemas.openxmlformats.org/officeDocument/2006/relationships/worksheet" Target="/xl/worksheets/sheet3.xml" Id="R4a0ad27338ec46da" /><Relationship Type="http://schemas.openxmlformats.org/officeDocument/2006/relationships/worksheet" Target="/xl/worksheets/sheet4.xml" Id="R1a7fcc60f3f44919" /><Relationship Type="http://schemas.openxmlformats.org/officeDocument/2006/relationships/worksheet" Target="/xl/worksheets/sheet5.xml" Id="R7821f2d7a0044e6a" /><Relationship Type="http://schemas.openxmlformats.org/officeDocument/2006/relationships/worksheet" Target="/xl/worksheets/sheet6.xml" Id="R349c014773d147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c9d7f813a44ab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4c1602d823f47f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b7ad1b072334c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HRC Price vs Blended Cash Cost (USD/t)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HRC price</c:v>
          </c:tx>
          <c:marker>
            <c:symbol val="none"/>
          </c:marker>
          <c:cat>
            <c:strRef>
              <c:f>'Executive Dashboard'!$A$13:$A$36</c:f>
              <c:strCache>
                <c:ptCount val="0"/>
              </c:strCache>
            </c:strRef>
          </c:cat>
          <c:val>
            <c:numRef>
              <c:f>'Executive Dashboard'!$B$13:$B$36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Blended cost</c:v>
          </c:tx>
          <c:marker>
            <c:symbol val="none"/>
          </c:marker>
          <c:cat>
            <c:strRef>
              <c:f>'Executive Dashboard'!$A$13:$A$36</c:f>
              <c:strCache>
                <c:ptCount val="0"/>
              </c:strCache>
            </c:strRef>
          </c:cat>
          <c:val>
            <c:numRef>
              <c:f>'Executive Dashboard'!$C$13:$C$36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 scenario output block (editable model)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Demand Mt</c:v>
          </c:tx>
          <c:marker>
            <c:symbol val="none"/>
          </c:marker>
          <c:cat>
            <c:strRef>
              <c:f>'Scenario Model'!$B$5:$B$10</c:f>
              <c:strCache>
                <c:ptCount val="0"/>
              </c:strCache>
            </c:strRef>
          </c:cat>
          <c:val>
            <c:numRef>
              <c:f>'Scenario Model'!$C$5:$C$10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Supply Mt</c:v>
          </c:tx>
          <c:marker>
            <c:symbol val="none"/>
          </c:marker>
          <c:cat>
            <c:strRef>
              <c:f>'Scenario Model'!$B$5:$B$10</c:f>
              <c:strCache>
                <c:ptCount val="0"/>
              </c:strCache>
            </c:strRef>
          </c:cat>
          <c:val>
            <c:numRef>
              <c:f>'Scenario Model'!$D$5:$D$10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Balance Mt</c:v>
          </c:tx>
          <c:marker>
            <c:symbol val="none"/>
          </c:marker>
          <c:cat>
            <c:strRef>
              <c:f>'Scenario Model'!$B$5:$B$10</c:f>
              <c:strCache>
                <c:ptCount val="0"/>
              </c:strCache>
            </c:strRef>
          </c:cat>
          <c:val>
            <c:numRef>
              <c:f>'Scenario Model'!$E$5:$E$10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Steel price $/t</c:v>
          </c:tx>
          <c:marker>
            <c:symbol val="none"/>
          </c:marker>
          <c:cat>
            <c:strRef>
              <c:f>'Scenario Model'!$B$5:$B$10</c:f>
              <c:strCache>
                <c:ptCount val="0"/>
              </c:strCache>
            </c:strRef>
          </c:cat>
          <c:val>
            <c:numRef>
              <c:f>'Scenario Model'!$F$5:$F$10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Cash cost $/t</c:v>
          </c:tx>
          <c:marker>
            <c:symbol val="none"/>
          </c:marker>
          <c:cat>
            <c:strRef>
              <c:f>'Scenario Model'!$B$5:$B$10</c:f>
              <c:strCache>
                <c:ptCount val="0"/>
              </c:strCache>
            </c:strRef>
          </c:cat>
          <c:val>
            <c:numRef>
              <c:f>'Scenario Model'!$G$5:$G$10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Margin $/t</c:v>
          </c:tx>
          <c:marker>
            <c:symbol val="none"/>
          </c:marker>
          <c:cat>
            <c:strRef>
              <c:f>'Scenario Model'!$B$5:$B$10</c:f>
              <c:strCache>
                <c:ptCount val="0"/>
              </c:strCache>
            </c:strRef>
          </c:cat>
          <c:val>
            <c:numRef>
              <c:f>'Scenario Model'!$H$5:$H$10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2024 Crude Steel Production (Mt)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2024 Mt</c:v>
          </c:tx>
          <c:cat>
            <c:strRef>
              <c:f>'Competitors'!$A$5:$A$10</c:f>
              <c:strCache>
                <c:ptCount val="0"/>
              </c:strCache>
            </c:strRef>
          </c:cat>
          <c:val>
            <c:numRef>
              <c:f>'Competitors'!$B$5:$B$10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c9d7f813a44ab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c1602d823f47f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7ad1b072334c9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eklyMarketTable" displayName="WeeklyMarketTable" ref="A1:N105" headerRowCount="1" totalsRowCount="0" totalsRowShown="0">
  <x:tableColumns count="14">
    <x:tableColumn id="1" name="week_start"/>
    <x:tableColumn id="2" name="hrc_usd_t"/>
    <x:tableColumn id="3" name="rebar_usd_t"/>
    <x:tableColumn id="4" name="iron_ore_usd_t"/>
    <x:tableColumn id="5" name="coking_coal_usd_t"/>
    <x:tableColumn id="6" name="scrap_usd_t"/>
    <x:tableColumn id="7" name="crude_steel_output_mt"/>
    <x:tableColumn id="8" name="apparent_demand_mt"/>
    <x:tableColumn id="9" name="exports_mt"/>
    <x:tableColumn id="10" name="bf_bof_cost_usd_t"/>
    <x:tableColumn id="11" name="eaf_cost_usd_t"/>
    <x:tableColumn id="12" name="blended_cost_usd_t"/>
    <x:tableColumn id="13" name="hrc_margin_usd_t"/>
    <x:tableColumn id="14" name="is_syntheti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f19df49ac140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395edb925694f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916a611630ec4f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2c02b8f3deed4adf" /></Relationships>
</file>

<file path=xl/worksheets/sheet1.xml><?xml version="1.0" encoding="utf-8"?>
<x:worksheet xmlns:x="http://schemas.openxmlformats.org/spreadsheetml/2006/main">
  <x:sheetFormatPr defaultRowHeight="15"/>
  <x:cols>
    <x:col min="1" max="1" width="47.220001220703125" hidden="0" customWidth="1"/>
    <x:col min="2" max="2" width="8.329999923706055" hidden="0" customWidth="1"/>
    <x:col min="3" max="3" width="10.779999732971191" hidden="0" customWidth="1"/>
    <x:col min="4" max="4" width="148.88999938964844" hidden="0" customWidth="1"/>
  </x:cols>
  <x:sheetData>
    <x:row r="1" ht="24" hidden="0" customHeight="1">
      <x:c r="A1" s="2" t="str">
        <x:v>China Steel Strategy Model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Synthetic portfolio model | editable assumptions | 2025–2030 scenarios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7" t="str">
        <x:v>KPI</x:v>
      </x:c>
      <x:c r="B4" s="8" t="str">
        <x:v>Value</x:v>
      </x:c>
      <x:c r="D4" s="13" t="str">
        <x:v>Decision frame
Base case assumes gradual demand decline and modest supply discipline. Margin resilience depends on raw-material relief, product mix and capacity adjustment more than volume growth.
All economics are synthetic model outputs—not company forecasts.</x:v>
      </x:c>
      <x:c r="E4" s="13"/>
      <x:c r="F4" s="13"/>
      <x:c r="G4" s="13"/>
      <x:c r="H4" s="13"/>
    </x:row>
    <x:row r="5" ht="15" hidden="0" customHeight="1">
      <x:c r="A5" t="str">
        <x:v>Latest HRC (USD/t)</x:v>
      </x:c>
      <x:c r="B5" s="9" t="n">
        <x:f>'Weekly Market'!B105</x:f>
        <x:v>532.79</x:v>
      </x:c>
      <x:c r="D5" s="13"/>
      <x:c r="E5" s="13"/>
      <x:c r="F5" s="13"/>
      <x:c r="G5" s="13"/>
      <x:c r="H5" s="13"/>
    </x:row>
    <x:row r="6" ht="15" hidden="0" customHeight="1">
      <x:c r="A6" t="str">
        <x:v>Latest blended cost (USD/t)</x:v>
      </x:c>
      <x:c r="B6" s="9" t="n">
        <x:f>'Weekly Market'!L105</x:f>
        <x:v>332.54</x:v>
      </x:c>
      <x:c r="D6" s="13"/>
      <x:c r="E6" s="13"/>
      <x:c r="F6" s="13"/>
      <x:c r="G6" s="13"/>
      <x:c r="H6" s="13"/>
    </x:row>
    <x:row r="7" ht="15" hidden="0" customHeight="1">
      <x:c r="A7" t="str">
        <x:v>Latest HRC margin (USD/t)</x:v>
      </x:c>
      <x:c r="B7" s="9" t="n">
        <x:f>'Weekly Market'!M105</x:f>
        <x:v>166.25</x:v>
      </x:c>
      <x:c r="D7" s="13"/>
      <x:c r="E7" s="13"/>
      <x:c r="F7" s="13"/>
      <x:c r="G7" s="13"/>
      <x:c r="H7" s="13"/>
    </x:row>
    <x:row r="8" ht="15" hidden="0" customHeight="1">
      <x:c r="A8" t="str">
        <x:v>Base 2030 demand (Mt)</x:v>
      </x:c>
      <x:c r="B8" s="9" t="n">
        <x:f>INDEX('Scenario Model'!C5:C22,MATCH(1,('Scenario Model'!A5:A22="Base")*('Scenario Model'!B5:B22=2030),0))</x:f>
        <x:v>931.9702489019999</x:v>
      </x:c>
      <x:c r="D8" s="13"/>
      <x:c r="E8" s="13"/>
      <x:c r="F8" s="13"/>
      <x:c r="G8" s="13"/>
      <x:c r="H8" s="13"/>
    </x:row>
    <x:row r="9"/>
    <x:row r="10"/>
    <x:row r="11"/>
    <x:row r="12" ht="15" hidden="0" customHeight="1">
      <x:c r="A12" s="7" t="str">
        <x:v>Month</x:v>
      </x:c>
      <x:c r="B12" s="14" t="str">
        <x:v>HRC price</x:v>
      </x:c>
      <x:c r="C12" s="8" t="str">
        <x:v>Blended cost</x:v>
      </x:c>
    </x:row>
    <x:row r="13" ht="15" hidden="0" customHeight="1">
      <x:c r="A13" t="str">
        <x:v>2024-01</x:v>
      </x:c>
      <x:c r="B13" s="15" t="n">
        <x:v>566.17</x:v>
      </x:c>
      <x:c r="C13" s="15" t="n">
        <x:v>367.51</x:v>
      </x:c>
    </x:row>
    <x:row r="14" ht="15" hidden="0" customHeight="1">
      <x:c r="A14" t="str">
        <x:v>2024-02</x:v>
      </x:c>
      <x:c r="B14" s="15" t="n">
        <x:v>565.47</x:v>
      </x:c>
      <x:c r="C14" s="15" t="n">
        <x:v>373.52</x:v>
      </x:c>
    </x:row>
    <x:row r="15" ht="15" hidden="0" customHeight="1">
      <x:c r="A15" t="str">
        <x:v>2024-03</x:v>
      </x:c>
      <x:c r="B15" s="15" t="n">
        <x:v>570.06</x:v>
      </x:c>
      <x:c r="C15" s="15" t="n">
        <x:v>385.91</x:v>
      </x:c>
    </x:row>
    <x:row r="16" ht="15" hidden="0" customHeight="1">
      <x:c r="A16" t="str">
        <x:v>2024-04</x:v>
      </x:c>
      <x:c r="B16" s="15" t="n">
        <x:v>576.49</x:v>
      </x:c>
      <x:c r="C16" s="15" t="n">
        <x:v>364.37</x:v>
      </x:c>
    </x:row>
    <x:row r="17" ht="15" hidden="0" customHeight="1">
      <x:c r="A17" t="str">
        <x:v>2024-05</x:v>
      </x:c>
      <x:c r="B17" s="15" t="n">
        <x:v>567.84</x:v>
      </x:c>
      <x:c r="C17" s="15" t="n">
        <x:v>354.08</x:v>
      </x:c>
    </x:row>
    <x:row r="18" ht="15" hidden="0" customHeight="1">
      <x:c r="A18" t="str">
        <x:v>2024-06</x:v>
      </x:c>
      <x:c r="B18" s="15" t="n">
        <x:v>552.23</x:v>
      </x:c>
      <x:c r="C18" s="15" t="n">
        <x:v>342.6</x:v>
      </x:c>
    </x:row>
    <x:row r="19" ht="15" hidden="0" customHeight="1">
      <x:c r="A19" t="str">
        <x:v>2024-07</x:v>
      </x:c>
      <x:c r="B19" s="15" t="n">
        <x:v>543.71</x:v>
      </x:c>
      <x:c r="C19" s="15" t="n">
        <x:v>323.95</x:v>
      </x:c>
    </x:row>
    <x:row r="20" ht="15" hidden="0" customHeight="1">
      <x:c r="A20" t="str">
        <x:v>2024-08</x:v>
      </x:c>
      <x:c r="B20" s="15" t="n">
        <x:v>536.22</x:v>
      </x:c>
      <x:c r="C20" s="15" t="n">
        <x:v>309.35</x:v>
      </x:c>
    </x:row>
    <x:row r="21" ht="15" hidden="0" customHeight="1">
      <x:c r="A21" t="str">
        <x:v>2024-09</x:v>
      </x:c>
      <x:c r="B21" s="15" t="n">
        <x:v>526.05</x:v>
      </x:c>
      <x:c r="C21" s="15" t="n">
        <x:v>310.28</x:v>
      </x:c>
    </x:row>
    <x:row r="22" ht="15" hidden="0" customHeight="1">
      <x:c r="A22" t="str">
        <x:v>2024-10</x:v>
      </x:c>
      <x:c r="B22" s="15" t="n">
        <x:v>522.75</x:v>
      </x:c>
      <x:c r="C22" s="15" t="n">
        <x:v>315.25</x:v>
      </x:c>
    </x:row>
    <x:row r="23" ht="15" hidden="0" customHeight="1">
      <x:c r="A23" t="str">
        <x:v>2024-11</x:v>
      </x:c>
      <x:c r="B23" s="15" t="n">
        <x:v>522.08</x:v>
      </x:c>
      <x:c r="C23" s="15" t="n">
        <x:v>328.09</x:v>
      </x:c>
    </x:row>
    <x:row r="24" ht="15" hidden="0" customHeight="1">
      <x:c r="A24" t="str">
        <x:v>2024-12</x:v>
      </x:c>
      <x:c r="B24" s="15" t="n">
        <x:v>530.96</x:v>
      </x:c>
      <x:c r="C24" s="15" t="n">
        <x:v>343.11</x:v>
      </x:c>
    </x:row>
    <x:row r="25" ht="15" hidden="0" customHeight="1">
      <x:c r="A25" t="str">
        <x:v>2025-01</x:v>
      </x:c>
      <x:c r="B25" s="15" t="n">
        <x:v>552.36</x:v>
      </x:c>
      <x:c r="C25" s="15" t="n">
        <x:v>358.21</x:v>
      </x:c>
    </x:row>
    <x:row r="26" ht="15" hidden="0" customHeight="1">
      <x:c r="A26" t="str">
        <x:v>2025-02</x:v>
      </x:c>
      <x:c r="B26" s="15" t="n">
        <x:v>557.78</x:v>
      </x:c>
      <x:c r="C26" s="15" t="n">
        <x:v>361.37</x:v>
      </x:c>
    </x:row>
    <x:row r="27" ht="15" hidden="0" customHeight="1">
      <x:c r="A27" t="str">
        <x:v>2025-03</x:v>
      </x:c>
      <x:c r="B27" s="15" t="n">
        <x:v>561.67</x:v>
      </x:c>
      <x:c r="C27" s="15" t="n">
        <x:v>365.56</x:v>
      </x:c>
    </x:row>
    <x:row r="28" ht="15" hidden="0" customHeight="1">
      <x:c r="A28" t="str">
        <x:v>2025-04</x:v>
      </x:c>
      <x:c r="B28" s="15" t="n">
        <x:v>561.86</x:v>
      </x:c>
      <x:c r="C28" s="15" t="n">
        <x:v>353.69</x:v>
      </x:c>
    </x:row>
    <x:row r="29">
      <x:c r="A29" t="str">
        <x:v>2025-05</x:v>
      </x:c>
      <x:c r="B29" s="15" t="n">
        <x:v>553.59</x:v>
      </x:c>
      <x:c r="C29" s="15" t="n">
        <x:v>345.63</x:v>
      </x:c>
    </x:row>
    <x:row r="30">
      <x:c r="A30" t="str">
        <x:v>2025-06</x:v>
      </x:c>
      <x:c r="B30" s="15" t="n">
        <x:v>538.32</x:v>
      </x:c>
      <x:c r="C30" s="15" t="n">
        <x:v>325.4</x:v>
      </x:c>
    </x:row>
    <x:row r="31">
      <x:c r="A31" t="str">
        <x:v>2025-07</x:v>
      </x:c>
      <x:c r="B31" s="15" t="n">
        <x:v>533.73</x:v>
      </x:c>
      <x:c r="C31" s="15" t="n">
        <x:v>310.01</x:v>
      </x:c>
    </x:row>
    <x:row r="32">
      <x:c r="A32" t="str">
        <x:v>2025-08</x:v>
      </x:c>
      <x:c r="B32" s="15" t="n">
        <x:v>522.34</x:v>
      </x:c>
      <x:c r="C32" s="15" t="n">
        <x:v>301.4</x:v>
      </x:c>
    </x:row>
    <x:row r="33">
      <x:c r="A33" t="str">
        <x:v>2025-09</x:v>
      </x:c>
      <x:c r="B33" s="15" t="n">
        <x:v>511.94</x:v>
      </x:c>
      <x:c r="C33" s="15" t="n">
        <x:v>295.24</x:v>
      </x:c>
    </x:row>
    <x:row r="34">
      <x:c r="A34" t="str">
        <x:v>2025-10</x:v>
      </x:c>
      <x:c r="B34" s="15" t="n">
        <x:v>515.92</x:v>
      </x:c>
      <x:c r="C34" s="15" t="n">
        <x:v>300.93</x:v>
      </x:c>
    </x:row>
    <x:row r="35">
      <x:c r="A35" t="str">
        <x:v>2025-11</x:v>
      </x:c>
      <x:c r="B35" s="15" t="n">
        <x:v>519.71</x:v>
      </x:c>
      <x:c r="C35" s="15" t="n">
        <x:v>316.31</x:v>
      </x:c>
    </x:row>
    <x:row r="36">
      <x:c r="A36" t="str">
        <x:v>2025-12</x:v>
      </x:c>
      <x:c r="B36" s="15" t="n">
        <x:v>527.53</x:v>
      </x:c>
      <x:c r="C36" s="15" t="n">
        <x:v>323.46</x:v>
      </x:c>
    </x:row>
  </x:sheetData>
  <x:mergeCells>
    <x:mergeCell ref="A1:H1"/>
    <x:mergeCell ref="A2:H2"/>
    <x:mergeCell ref="D4:H8"/>
  </x:mergeCells>
  <x:pageMargins left="0.7" right="0.7" top="0.75" bottom="0.75" header="0.3" footer="0.3"/>
  <x:drawing xmlns:r="http://schemas.openxmlformats.org/officeDocument/2006/relationships" r:id="Rbff19df49ac140c7"/>
</x:worksheet>
</file>

<file path=xl/worksheets/sheet2.xml><?xml version="1.0" encoding="utf-8"?>
<x:worksheet xmlns:x="http://schemas.openxmlformats.org/spreadsheetml/2006/main">
  <x:sheetFormatPr defaultRowHeight="15"/>
  <x:cols>
    <x:col min="1" max="1" width="37.66999816894531" hidden="0" customWidth="1"/>
    <x:col min="2" max="2" width="37.560001373291016" hidden="0" customWidth="1"/>
    <x:col min="3" max="3" width="11.220000267028809" hidden="0" customWidth="1"/>
    <x:col min="4" max="4" width="11.890000343322754" hidden="0" customWidth="1"/>
    <x:col min="5" max="5" width="10.890000343322754" hidden="0" customWidth="1"/>
    <x:col min="6" max="6" width="12.670000076293945" hidden="0" customWidth="1"/>
    <x:col min="8" max="8" width="81.44000244140625" hidden="0" customWidth="1"/>
  </x:cols>
  <x:sheetData>
    <x:row r="1" ht="24" hidden="0" customHeight="1">
      <x:c r="A1" s="2" t="str">
        <x:v>Visible Assumptions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Yellow cells are editable; scenario logic is formula-driven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7" t="str">
        <x:v>Scenario</x:v>
      </x:c>
      <x:c r="B4" s="14" t="str">
        <x:v>Demand CAGR</x:v>
      </x:c>
      <x:c r="C4" s="14" t="str">
        <x:v>Supply CAGR</x:v>
      </x:c>
      <x:c r="D4" s="14" t="str">
        <x:v>Price elasticity</x:v>
      </x:c>
      <x:c r="E4" s="14" t="str">
        <x:v>Cost inflation</x:v>
      </x:c>
      <x:c r="F4" s="8" t="str">
        <x:v>2030 EAF share</x:v>
      </x:c>
    </x:row>
    <x:row r="5" ht="15" hidden="0" customHeight="1">
      <x:c r="A5" t="str">
        <x:v>Downside</x:v>
      </x:c>
      <x:c r="B5" s="17" t="n">
        <x:v>-0.025</x:v>
      </x:c>
      <x:c r="C5" s="17" t="n">
        <x:v>-0.012</x:v>
      </x:c>
      <x:c r="D5" s="18" t="n">
        <x:v>0.55</x:v>
      </x:c>
      <x:c r="E5" s="17" t="n">
        <x:v>0.01</x:v>
      </x:c>
      <x:c r="F5" s="17" t="n">
        <x:v>0.2</x:v>
      </x:c>
    </x:row>
    <x:row r="6" ht="15" hidden="0" customHeight="1">
      <x:c r="A6" t="str">
        <x:v>Base</x:v>
      </x:c>
      <x:c r="B6" s="17" t="n">
        <x:v>-0.01</x:v>
      </x:c>
      <x:c r="C6" s="17" t="n">
        <x:v>-0.008</x:v>
      </x:c>
      <x:c r="D6" s="18" t="n">
        <x:v>0.65</x:v>
      </x:c>
      <x:c r="E6" s="17" t="n">
        <x:v>0.015</x:v>
      </x:c>
      <x:c r="F6" s="17" t="n">
        <x:v>0.23</x:v>
      </x:c>
    </x:row>
    <x:row r="7" ht="15" hidden="0" customHeight="1">
      <x:c r="A7" t="str">
        <x:v>Upside</x:v>
      </x:c>
      <x:c r="B7" s="17" t="n">
        <x:v>0.005</x:v>
      </x:c>
      <x:c r="C7" s="17" t="n">
        <x:v>-0.004</x:v>
      </x:c>
      <x:c r="D7" s="18" t="n">
        <x:v>0.75</x:v>
      </x:c>
      <x:c r="E7" s="17" t="n">
        <x:v>0.02</x:v>
      </x:c>
      <x:c r="F7" s="17" t="n">
        <x:v>0.26</x:v>
      </x:c>
    </x:row>
    <x:row r="8" ht="15" hidden="0" customHeight="1">
      <x:c r="A8" t="str">
        <x:v>Base-year constants</x:v>
      </x:c>
      <x:c r="B8" t="str">
        <x:v>Demand 980 Mt</x:v>
      </x:c>
      <x:c r="C8" t="str">
        <x:v>Supply 995 Mt</x:v>
      </x:c>
      <x:c r="D8" t="str">
        <x:v>Price $520/t</x:v>
      </x:c>
      <x:c r="E8" t="str">
        <x:v>Cost $455/t</x:v>
      </x:c>
      <x:c r="F8" t="str">
        <x:v>EAF 15%</x:v>
      </x:c>
    </x:row>
    <x:row r="9"/>
    <x:row r="10" ht="15" hidden="0" customHeight="1">
      <x:c r="A10" t="str">
        <x:v>Source / rationale</x:v>
      </x:c>
      <x:c r="B10" t="str"/>
      <x:c r="C10" t="str"/>
      <x:c r="D10" t="str"/>
      <x:c r="E10" t="str"/>
      <x:c r="F10" t="str"/>
      <x:c r="G10" t="str"/>
      <x:c r="H10" t="str"/>
    </x:row>
    <x:row r="11" ht="15" hidden="0" customHeight="1">
      <x:c r="A11" t="str">
        <x:v>Public calibration</x:v>
      </x:c>
      <x:c r="B11" t="str">
        <x:v>China 2024 crude steel: 1,005.1 Mt</x:v>
      </x:c>
      <x:c r="C11" t="str">
        <x:v>worldsteel</x:v>
      </x:c>
      <x:c r="D11" t="str"/>
      <x:c r="E11" t="str"/>
      <x:c r="F11" t="str"/>
      <x:c r="G11" t="str"/>
      <x:c r="H11" t="str">
        <x:v>https://worldsteel.org/media/press-releases/2025/december-2024-crude-steel-production-and-2024-global-totals/</x:v>
      </x:c>
    </x:row>
    <x:row r="12" ht="15" hidden="0" customHeight="1">
      <x:c r="A12" t="str">
        <x:v>Producer ranking</x:v>
      </x:c>
      <x:c r="B12" t="str">
        <x:v>2024 company output</x:v>
      </x:c>
      <x:c r="C12" t="str">
        <x:v>worldsteel</x:v>
      </x:c>
      <x:c r="D12" t="str"/>
      <x:c r="E12" t="str"/>
      <x:c r="F12" t="str"/>
      <x:c r="G12" t="str"/>
      <x:c r="H12" t="str">
        <x:v>https://worldsteel.org/data/world-steel-in-figures/world-steel-in-figures-2025/</x:v>
      </x:c>
    </x:row>
    <x:row r="13" ht="15" hidden="0" customHeight="1">
      <x:c r="A13" t="str">
        <x:v>Policy</x:v>
      </x:c>
      <x:c r="B13" t="str">
        <x:v>2025–2026 stable-growth plan</x:v>
      </x:c>
      <x:c r="C13" t="str">
        <x:v>MIIT</x:v>
      </x:c>
      <x:c r="D13" t="str"/>
      <x:c r="E13" t="str"/>
      <x:c r="F13" t="str"/>
      <x:c r="G13" t="str"/>
      <x:c r="H13" t="str">
        <x:v>https://www.miit.gov.cn/jgsj/ycls/wjfb/art/2025/art_854c86c1f4484bcfa78a6b634a7fb5b1.html</x:v>
      </x:c>
    </x:row>
    <x:row r="14" ht="15" hidden="0" customHeight="1">
      <x:c r="A14" t="str">
        <x:v>Disclosure</x:v>
      </x:c>
      <x:c r="B14" t="str">
        <x:v>Market series and model assumptions are synthetic</x:v>
      </x:c>
      <x:c r="C14" t="str"/>
      <x:c r="D14" t="str"/>
      <x:c r="E14" t="str"/>
      <x:c r="F14" t="str"/>
      <x:c r="G14" t="str"/>
      <x:c r="H14" t="str"/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10.5600004196167" hidden="0" customWidth="1"/>
    <x:col min="3" max="3" width="12" hidden="0" customWidth="1"/>
    <x:col min="4" max="4" width="14.4399995803833" hidden="0" customWidth="1"/>
    <x:col min="5" max="5" width="17.329999923706055" hidden="0" customWidth="1"/>
    <x:col min="6" max="6" width="12.329999923706055" hidden="0" customWidth="1"/>
    <x:col min="7" max="7" width="20.670000076293945" hidden="0" customWidth="1"/>
    <x:col min="8" max="8" width="19.670000076293945" hidden="0" customWidth="1"/>
    <x:col min="9" max="9" width="11.4399995803833" hidden="0" customWidth="1"/>
    <x:col min="10" max="10" width="17.219999313354492" hidden="0" customWidth="1"/>
    <x:col min="11" max="11" width="14.5600004196167" hidden="0" customWidth="1"/>
    <x:col min="12" max="12" width="18.440000534057617" hidden="0" customWidth="1"/>
    <x:col min="13" max="13" width="16.889999389648438" hidden="0" customWidth="1"/>
    <x:col min="14" max="14" width="12.109999656677246" hidden="0" customWidth="1"/>
  </x:cols>
  <x:sheetData>
    <x:row r="1" ht="15" hidden="0" customHeight="1">
      <x:c r="A1" s="7" t="str">
        <x:v>week_start</x:v>
      </x:c>
      <x:c r="B1" s="14" t="str">
        <x:v>hrc_usd_t</x:v>
      </x:c>
      <x:c r="C1" s="14" t="str">
        <x:v>rebar_usd_t</x:v>
      </x:c>
      <x:c r="D1" s="14" t="str">
        <x:v>iron_ore_usd_t</x:v>
      </x:c>
      <x:c r="E1" s="14" t="str">
        <x:v>coking_coal_usd_t</x:v>
      </x:c>
      <x:c r="F1" s="14" t="str">
        <x:v>scrap_usd_t</x:v>
      </x:c>
      <x:c r="G1" s="14" t="str">
        <x:v>crude_steel_output_mt</x:v>
      </x:c>
      <x:c r="H1" s="14" t="str">
        <x:v>apparent_demand_mt</x:v>
      </x:c>
      <x:c r="I1" s="14" t="str">
        <x:v>exports_mt</x:v>
      </x:c>
      <x:c r="J1" s="14" t="str">
        <x:v>bf_bof_cost_usd_t</x:v>
      </x:c>
      <x:c r="K1" s="14" t="str">
        <x:v>eaf_cost_usd_t</x:v>
      </x:c>
      <x:c r="L1" s="14" t="str">
        <x:v>blended_cost_usd_t</x:v>
      </x:c>
      <x:c r="M1" s="14" t="str">
        <x:v>hrc_margin_usd_t</x:v>
      </x:c>
      <x:c r="N1" s="8" t="str">
        <x:v>is_synthetic</x:v>
      </x:c>
    </x:row>
    <x:row r="2" ht="15" hidden="0" customHeight="1">
      <x:c r="A2" s="19" t="str">
        <x:v>2024-01-01</x:v>
      </x:c>
      <x:c r="B2" s="20" t="n">
        <x:v>563.2</x:v>
      </x:c>
      <x:c r="C2" s="20" t="n">
        <x:v>502.07</x:v>
      </x:c>
      <x:c r="D2" s="20" t="n">
        <x:v>110.64</x:v>
      </x:c>
      <x:c r="E2" s="20" t="n">
        <x:v>268.47</x:v>
      </x:c>
      <x:c r="F2" s="20" t="n">
        <x:v>370.68</x:v>
      </x:c>
      <x:c r="G2" s="21" t="n">
        <x:v>19.581</x:v>
      </x:c>
      <x:c r="H2" s="21" t="n">
        <x:v>18.847</x:v>
      </x:c>
      <x:c r="I2" s="21" t="n">
        <x:v>2.089</x:v>
      </x:c>
      <x:c r="J2" s="20" t="n">
        <x:v>369.27</x:v>
      </x:c>
      <x:c r="K2" s="20" t="n">
        <x:v>355.13</x:v>
      </x:c>
      <x:c r="L2" s="20" t="n">
        <x:v>367.57</x:v>
      </x:c>
      <x:c r="M2" s="20" t="n">
        <x:v>161.63</x:v>
      </x:c>
      <x:c r="N2" t="n">
        <x:v>1</x:v>
      </x:c>
    </x:row>
    <x:row r="3" ht="15" hidden="0" customHeight="1">
      <x:c r="A3" s="19" t="str">
        <x:v>2024-01-08</x:v>
      </x:c>
      <x:c r="B3" s="20" t="n">
        <x:v>570.94</x:v>
      </x:c>
      <x:c r="C3" s="20" t="n">
        <x:v>517.45</x:v>
      </x:c>
      <x:c r="D3" s="20" t="n">
        <x:v>113.65</x:v>
      </x:c>
      <x:c r="E3" s="20" t="n">
        <x:v>273.98</x:v>
      </x:c>
      <x:c r="F3" s="20" t="n">
        <x:v>360.13</x:v>
      </x:c>
      <x:c r="G3" s="21" t="n">
        <x:v>20.099</x:v>
      </x:c>
      <x:c r="H3" s="21" t="n">
        <x:v>19.056</x:v>
      </x:c>
      <x:c r="I3" s="21" t="n">
        <x:v>2.128</x:v>
      </x:c>
      <x:c r="J3" s="20" t="n">
        <x:v>376.82</x:v>
      </x:c>
      <x:c r="K3" s="20" t="n">
        <x:v>346.9</x:v>
      </x:c>
      <x:c r="L3" s="20" t="n">
        <x:v>373.23</x:v>
      </x:c>
      <x:c r="M3" s="20" t="n">
        <x:v>163.7</x:v>
      </x:c>
      <x:c r="N3" t="n">
        <x:v>1</x:v>
      </x:c>
    </x:row>
    <x:row r="4" ht="15" hidden="0" customHeight="1">
      <x:c r="A4" s="19" t="str">
        <x:v>2024-01-15</x:v>
      </x:c>
      <x:c r="B4" s="20" t="n">
        <x:v>566.09</x:v>
      </x:c>
      <x:c r="C4" s="20" t="n">
        <x:v>497.03</x:v>
      </x:c>
      <x:c r="D4" s="20" t="n">
        <x:v>106.09</x:v>
      </x:c>
      <x:c r="E4" s="20" t="n">
        <x:v>260.35</x:v>
      </x:c>
      <x:c r="F4" s="20" t="n">
        <x:v>367.83</x:v>
      </x:c>
      <x:c r="G4" s="21" t="n">
        <x:v>19.734</x:v>
      </x:c>
      <x:c r="H4" s="21" t="n">
        <x:v>19.62</x:v>
      </x:c>
      <x:c r="I4" s="21" t="n">
        <x:v>2.087</x:v>
      </x:c>
      <x:c r="J4" s="20" t="n">
        <x:v>357.92</x:v>
      </x:c>
      <x:c r="K4" s="20" t="n">
        <x:v>352.9</x:v>
      </x:c>
      <x:c r="L4" s="20" t="n">
        <x:v>357.32</x:v>
      </x:c>
      <x:c r="M4" s="20" t="n">
        <x:v>174.77</x:v>
      </x:c>
      <x:c r="N4" t="n">
        <x:v>1</x:v>
      </x:c>
    </x:row>
    <x:row r="5" ht="15" hidden="0" customHeight="1">
      <x:c r="A5" s="19" t="str">
        <x:v>2024-01-22</x:v>
      </x:c>
      <x:c r="B5" s="20" t="n">
        <x:v>559.9</x:v>
      </x:c>
      <x:c r="C5" s="20" t="n">
        <x:v>507.91</x:v>
      </x:c>
      <x:c r="D5" s="20" t="n">
        <x:v>112.41</x:v>
      </x:c>
      <x:c r="E5" s="20" t="n">
        <x:v>284.06</x:v>
      </x:c>
      <x:c r="F5" s="20" t="n">
        <x:v>380.93</x:v>
      </x:c>
      <x:c r="G5" s="21" t="n">
        <x:v>19.549</x:v>
      </x:c>
      <x:c r="H5" s="21" t="n">
        <x:v>19.727</x:v>
      </x:c>
      <x:c r="I5" s="21" t="n">
        <x:v>2.091</x:v>
      </x:c>
      <x:c r="J5" s="20" t="n">
        <x:v>379.89</x:v>
      </x:c>
      <x:c r="K5" s="20" t="n">
        <x:v>363.12</x:v>
      </x:c>
      <x:c r="L5" s="20" t="n">
        <x:v>377.88</x:v>
      </x:c>
      <x:c r="M5" s="20" t="n">
        <x:v>148.03</x:v>
      </x:c>
      <x:c r="N5" t="n">
        <x:v>1</x:v>
      </x:c>
    </x:row>
    <x:row r="6" ht="15" hidden="0" customHeight="1">
      <x:c r="A6" s="19" t="str">
        <x:v>2024-01-29</x:v>
      </x:c>
      <x:c r="B6" s="20" t="n">
        <x:v>570.71</x:v>
      </x:c>
      <x:c r="C6" s="20" t="n">
        <x:v>528.74</x:v>
      </x:c>
      <x:c r="D6" s="20" t="n">
        <x:v>114.6</x:v>
      </x:c>
      <x:c r="E6" s="20" t="n">
        <x:v>244.7</x:v>
      </x:c>
      <x:c r="F6" s="20" t="n">
        <x:v>358.63</x:v>
      </x:c>
      <x:c r="G6" s="21" t="n">
        <x:v>19.661</x:v>
      </x:c>
      <x:c r="H6" s="21" t="n">
        <x:v>19.456</x:v>
      </x:c>
      <x:c r="I6" s="21" t="n">
        <x:v>2.207</x:v>
      </x:c>
      <x:c r="J6" s="20" t="n">
        <x:v>363.7</x:v>
      </x:c>
      <x:c r="K6" s="20" t="n">
        <x:v>345.73</x:v>
      </x:c>
      <x:c r="L6" s="20" t="n">
        <x:v>361.55</x:v>
      </x:c>
      <x:c r="M6" s="20" t="n">
        <x:v>175.16</x:v>
      </x:c>
      <x:c r="N6" t="n">
        <x:v>1</x:v>
      </x:c>
    </x:row>
    <x:row r="7" ht="15" hidden="0" customHeight="1">
      <x:c r="A7" s="19" t="str">
        <x:v>2024-02-05</x:v>
      </x:c>
      <x:c r="B7" s="20" t="n">
        <x:v>558.95</x:v>
      </x:c>
      <x:c r="C7" s="20" t="n">
        <x:v>527.1</x:v>
      </x:c>
      <x:c r="D7" s="20" t="n">
        <x:v>114.62</x:v>
      </x:c>
      <x:c r="E7" s="20" t="n">
        <x:v>266.39</x:v>
      </x:c>
      <x:c r="F7" s="20" t="n">
        <x:v>379.33</x:v>
      </x:c>
      <x:c r="G7" s="21" t="n">
        <x:v>20.4</x:v>
      </x:c>
      <x:c r="H7" s="21" t="n">
        <x:v>19.523</x:v>
      </x:c>
      <x:c r="I7" s="21" t="n">
        <x:v>2.186</x:v>
      </x:c>
      <x:c r="J7" s="20" t="n">
        <x:v>374.58</x:v>
      </x:c>
      <x:c r="K7" s="20" t="n">
        <x:v>361.88</x:v>
      </x:c>
      <x:c r="L7" s="20" t="n">
        <x:v>373.06</x:v>
      </x:c>
      <x:c r="M7" s="20" t="n">
        <x:v>151.89</x:v>
      </x:c>
      <x:c r="N7" t="n">
        <x:v>1</x:v>
      </x:c>
    </x:row>
    <x:row r="8" ht="15" hidden="0" customHeight="1">
      <x:c r="A8" s="19" t="str">
        <x:v>2024-02-12</x:v>
      </x:c>
      <x:c r="B8" s="20" t="n">
        <x:v>560.35</x:v>
      </x:c>
      <x:c r="C8" s="20" t="n">
        <x:v>524.76</x:v>
      </x:c>
      <x:c r="D8" s="20" t="n">
        <x:v>115.36</x:v>
      </x:c>
      <x:c r="E8" s="20" t="n">
        <x:v>271.93</x:v>
      </x:c>
      <x:c r="F8" s="20" t="n">
        <x:v>371.83</x:v>
      </x:c>
      <x:c r="G8" s="21" t="n">
        <x:v>20.304</x:v>
      </x:c>
      <x:c r="H8" s="21" t="n">
        <x:v>19.447</x:v>
      </x:c>
      <x:c r="I8" s="21" t="n">
        <x:v>2.229</x:v>
      </x:c>
      <x:c r="J8" s="20" t="n">
        <x:v>378.54</x:v>
      </x:c>
      <x:c r="K8" s="20" t="n">
        <x:v>356.03</x:v>
      </x:c>
      <x:c r="L8" s="20" t="n">
        <x:v>375.84</x:v>
      </x:c>
      <x:c r="M8" s="20" t="n">
        <x:v>150.51</x:v>
      </x:c>
      <x:c r="N8" t="n">
        <x:v>1</x:v>
      </x:c>
    </x:row>
    <x:row r="9" ht="15" hidden="0" customHeight="1">
      <x:c r="A9" s="19" t="str">
        <x:v>2024-02-19</x:v>
      </x:c>
      <x:c r="B9" s="20" t="n">
        <x:v>571.81</x:v>
      </x:c>
      <x:c r="C9" s="20" t="n">
        <x:v>517.53</x:v>
      </x:c>
      <x:c r="D9" s="20" t="n">
        <x:v>114.8</x:v>
      </x:c>
      <x:c r="E9" s="20" t="n">
        <x:v>253.24</x:v>
      </x:c>
      <x:c r="F9" s="20" t="n">
        <x:v>380.89</x:v>
      </x:c>
      <x:c r="G9" s="21" t="n">
        <x:v>20.87</x:v>
      </x:c>
      <x:c r="H9" s="21" t="n">
        <x:v>19.592</x:v>
      </x:c>
      <x:c r="I9" s="21" t="n">
        <x:v>2.338</x:v>
      </x:c>
      <x:c r="J9" s="20" t="n">
        <x:v>368.31</x:v>
      </x:c>
      <x:c r="K9" s="20" t="n">
        <x:v>363.1</x:v>
      </x:c>
      <x:c r="L9" s="20" t="n">
        <x:v>367.68</x:v>
      </x:c>
      <x:c r="M9" s="20" t="n">
        <x:v>170.13</x:v>
      </x:c>
      <x:c r="N9" t="n">
        <x:v>1</x:v>
      </x:c>
    </x:row>
    <x:row r="10" ht="15" hidden="0" customHeight="1">
      <x:c r="A10" s="19" t="str">
        <x:v>2024-02-26</x:v>
      </x:c>
      <x:c r="B10" s="20" t="n">
        <x:v>570.75</x:v>
      </x:c>
      <x:c r="C10" s="20" t="n">
        <x:v>533.48</x:v>
      </x:c>
      <x:c r="D10" s="20" t="n">
        <x:v>115.41</x:v>
      </x:c>
      <x:c r="E10" s="20" t="n">
        <x:v>274.33</x:v>
      </x:c>
      <x:c r="F10" s="20" t="n">
        <x:v>377.7</x:v>
      </x:c>
      <x:c r="G10" s="21" t="n">
        <x:v>20.452</x:v>
      </x:c>
      <x:c r="H10" s="21" t="n">
        <x:v>19.96</x:v>
      </x:c>
      <x:c r="I10" s="21" t="n">
        <x:v>2.21</x:v>
      </x:c>
      <x:c r="J10" s="20" t="n">
        <x:v>379.82</x:v>
      </x:c>
      <x:c r="K10" s="20" t="n">
        <x:v>360.61</x:v>
      </x:c>
      <x:c r="L10" s="20" t="n">
        <x:v>377.51</x:v>
      </x:c>
      <x:c r="M10" s="20" t="n">
        <x:v>159.24</x:v>
      </x:c>
      <x:c r="N10" t="n">
        <x:v>1</x:v>
      </x:c>
    </x:row>
    <x:row r="11" ht="15" hidden="0" customHeight="1">
      <x:c r="A11" s="19" t="str">
        <x:v>2024-03-04</x:v>
      </x:c>
      <x:c r="B11" s="20" t="n">
        <x:v>570.13</x:v>
      </x:c>
      <x:c r="C11" s="20" t="n">
        <x:v>520.71</x:v>
      </x:c>
      <x:c r="D11" s="20" t="n">
        <x:v>127.86</x:v>
      </x:c>
      <x:c r="E11" s="20" t="n">
        <x:v>269.6</x:v>
      </x:c>
      <x:c r="F11" s="20" t="n">
        <x:v>369.81</x:v>
      </x:c>
      <x:c r="G11" s="21" t="n">
        <x:v>20.62</x:v>
      </x:c>
      <x:c r="H11" s="21" t="n">
        <x:v>19.224</x:v>
      </x:c>
      <x:c r="I11" s="21" t="n">
        <x:v>2.216</x:v>
      </x:c>
      <x:c r="J11" s="20" t="n">
        <x:v>397.37</x:v>
      </x:c>
      <x:c r="K11" s="20" t="n">
        <x:v>354.45</x:v>
      </x:c>
      <x:c r="L11" s="20" t="n">
        <x:v>392.22</x:v>
      </x:c>
      <x:c r="M11" s="20" t="n">
        <x:v>143.91</x:v>
      </x:c>
      <x:c r="N11" t="n">
        <x:v>1</x:v>
      </x:c>
    </x:row>
    <x:row r="12" ht="15" hidden="0" customHeight="1">
      <x:c r="A12" s="19" t="str">
        <x:v>2024-03-11</x:v>
      </x:c>
      <x:c r="B12" s="20" t="n">
        <x:v>580.96</x:v>
      </x:c>
      <x:c r="C12" s="20" t="n">
        <x:v>546.23</x:v>
      </x:c>
      <x:c r="D12" s="20" t="n">
        <x:v>118.4</x:v>
      </x:c>
      <x:c r="E12" s="20" t="n">
        <x:v>275.86</x:v>
      </x:c>
      <x:c r="F12" s="20" t="n">
        <x:v>382.31</x:v>
      </x:c>
      <x:c r="G12" s="21" t="n">
        <x:v>20.529</x:v>
      </x:c>
      <x:c r="H12" s="21" t="n">
        <x:v>19.214</x:v>
      </x:c>
      <x:c r="I12" s="21" t="n">
        <x:v>2.233</x:v>
      </x:c>
      <x:c r="J12" s="20" t="n">
        <x:v>385.38</x:v>
      </x:c>
      <x:c r="K12" s="20" t="n">
        <x:v>364.2</x:v>
      </x:c>
      <x:c r="L12" s="20" t="n">
        <x:v>382.83</x:v>
      </x:c>
      <x:c r="M12" s="20" t="n">
        <x:v>164.12</x:v>
      </x:c>
      <x:c r="N12" t="n">
        <x:v>1</x:v>
      </x:c>
    </x:row>
    <x:row r="13" ht="15" hidden="0" customHeight="1">
      <x:c r="A13" s="19" t="str">
        <x:v>2024-03-18</x:v>
      </x:c>
      <x:c r="B13" s="20" t="n">
        <x:v>557.18</x:v>
      </x:c>
      <x:c r="C13" s="20" t="n">
        <x:v>545.98</x:v>
      </x:c>
      <x:c r="D13" s="20" t="n">
        <x:v>122.6</x:v>
      </x:c>
      <x:c r="E13" s="20" t="n">
        <x:v>259.44</x:v>
      </x:c>
      <x:c r="F13" s="20" t="n">
        <x:v>377.74</x:v>
      </x:c>
      <x:c r="G13" s="21" t="n">
        <x:v>20.43</x:v>
      </x:c>
      <x:c r="H13" s="21" t="n">
        <x:v>19.578</x:v>
      </x:c>
      <x:c r="I13" s="21" t="n">
        <x:v>2.261</x:v>
      </x:c>
      <x:c r="J13" s="20" t="n">
        <x:v>383.88</x:v>
      </x:c>
      <x:c r="K13" s="20" t="n">
        <x:v>360.64</x:v>
      </x:c>
      <x:c r="L13" s="20" t="n">
        <x:v>381.09</x:v>
      </x:c>
      <x:c r="M13" s="20" t="n">
        <x:v>142.09</x:v>
      </x:c>
      <x:c r="N13" t="n">
        <x:v>1</x:v>
      </x:c>
    </x:row>
    <x:row r="14" ht="15" hidden="0" customHeight="1">
      <x:c r="A14" s="19" t="str">
        <x:v>2024-03-25</x:v>
      </x:c>
      <x:c r="B14" s="20" t="n">
        <x:v>571.97</x:v>
      </x:c>
      <x:c r="C14" s="20" t="n">
        <x:v>531.95</x:v>
      </x:c>
      <x:c r="D14" s="20" t="n">
        <x:v>120.28</x:v>
      </x:c>
      <x:c r="E14" s="20" t="n">
        <x:v>278.21</x:v>
      </x:c>
      <x:c r="F14" s="20" t="n">
        <x:v>393.02</x:v>
      </x:c>
      <x:c r="G14" s="21" t="n">
        <x:v>20.581</x:v>
      </x:c>
      <x:c r="H14" s="21" t="n">
        <x:v>19.333</x:v>
      </x:c>
      <x:c r="I14" s="21" t="n">
        <x:v>2.276</x:v>
      </x:c>
      <x:c r="J14" s="20" t="n">
        <x:v>389.55</x:v>
      </x:c>
      <x:c r="K14" s="20" t="n">
        <x:v>372.56</x:v>
      </x:c>
      <x:c r="L14" s="20" t="n">
        <x:v>387.52</x:v>
      </x:c>
      <x:c r="M14" s="20" t="n">
        <x:v>150.45</x:v>
      </x:c>
      <x:c r="N14" t="n">
        <x:v>1</x:v>
      </x:c>
    </x:row>
    <x:row r="15" ht="15" hidden="0" customHeight="1">
      <x:c r="A15" s="19" t="str">
        <x:v>2024-04-01</x:v>
      </x:c>
      <x:c r="B15" s="20" t="n">
        <x:v>575.09</x:v>
      </x:c>
      <x:c r="C15" s="20" t="n">
        <x:v>558.32</x:v>
      </x:c>
      <x:c r="D15" s="20" t="n">
        <x:v>116.07</x:v>
      </x:c>
      <x:c r="E15" s="20" t="n">
        <x:v>263.42</x:v>
      </x:c>
      <x:c r="F15" s="20" t="n">
        <x:v>385.99</x:v>
      </x:c>
      <x:c r="G15" s="21" t="n">
        <x:v>20.502</x:v>
      </x:c>
      <x:c r="H15" s="21" t="n">
        <x:v>19.525</x:v>
      </x:c>
      <x:c r="I15" s="21" t="n">
        <x:v>2.306</x:v>
      </x:c>
      <x:c r="J15" s="20" t="n">
        <x:v>375.42</x:v>
      </x:c>
      <x:c r="K15" s="20" t="n">
        <x:v>367.07</x:v>
      </x:c>
      <x:c r="L15" s="20" t="n">
        <x:v>374.42</x:v>
      </x:c>
      <x:c r="M15" s="20" t="n">
        <x:v>166.67</x:v>
      </x:c>
      <x:c r="N15" t="n">
        <x:v>1</x:v>
      </x:c>
    </x:row>
    <x:row r="16" ht="15" hidden="0" customHeight="1">
      <x:c r="A16" s="19" t="str">
        <x:v>2024-04-08</x:v>
      </x:c>
      <x:c r="B16" s="20" t="n">
        <x:v>576.23</x:v>
      </x:c>
      <x:c r="C16" s="20" t="n">
        <x:v>536.76</x:v>
      </x:c>
      <x:c r="D16" s="20" t="n">
        <x:v>112.47</x:v>
      </x:c>
      <x:c r="E16" s="20" t="n">
        <x:v>253.54</x:v>
      </x:c>
      <x:c r="F16" s="20" t="n">
        <x:v>368.61</x:v>
      </x:c>
      <x:c r="G16" s="21" t="n">
        <x:v>20.317</x:v>
      </x:c>
      <x:c r="H16" s="21" t="n">
        <x:v>19.746</x:v>
      </x:c>
      <x:c r="I16" s="21" t="n">
        <x:v>2.288</x:v>
      </x:c>
      <x:c r="J16" s="20" t="n">
        <x:v>364.73</x:v>
      </x:c>
      <x:c r="K16" s="20" t="n">
        <x:v>353.51</x:v>
      </x:c>
      <x:c r="L16" s="20" t="n">
        <x:v>363.38</x:v>
      </x:c>
      <x:c r="M16" s="20" t="n">
        <x:v>178.85</x:v>
      </x:c>
      <x:c r="N16" t="n">
        <x:v>1</x:v>
      </x:c>
    </x:row>
    <x:row r="17" ht="15" hidden="0" customHeight="1">
      <x:c r="A17" s="19" t="str">
        <x:v>2024-04-15</x:v>
      </x:c>
      <x:c r="B17" s="20" t="n">
        <x:v>583.05</x:v>
      </x:c>
      <x:c r="C17" s="20" t="n">
        <x:v>539.76</x:v>
      </x:c>
      <x:c r="D17" s="20" t="n">
        <x:v>114.88</x:v>
      </x:c>
      <x:c r="E17" s="20" t="n">
        <x:v>255.03</x:v>
      </x:c>
      <x:c r="F17" s="20" t="n">
        <x:v>378.02</x:v>
      </x:c>
      <x:c r="G17" s="21" t="n">
        <x:v>20.606</x:v>
      </x:c>
      <x:c r="H17" s="21" t="n">
        <x:v>19.497</x:v>
      </x:c>
      <x:c r="I17" s="21" t="n">
        <x:v>2.321</x:v>
      </x:c>
      <x:c r="J17" s="20" t="n">
        <x:v>369.32</x:v>
      </x:c>
      <x:c r="K17" s="20" t="n">
        <x:v>360.85</x:v>
      </x:c>
      <x:c r="L17" s="20" t="n">
        <x:v>368.3</x:v>
      </x:c>
      <x:c r="M17" s="20" t="n">
        <x:v>180.74</x:v>
      </x:c>
      <x:c r="N17" t="n">
        <x:v>1</x:v>
      </x:c>
    </x:row>
    <x:row r="18" ht="15" hidden="0" customHeight="1">
      <x:c r="A18" s="19" t="str">
        <x:v>2024-04-22</x:v>
      </x:c>
      <x:c r="B18" s="20" t="n">
        <x:v>579.61</x:v>
      </x:c>
      <x:c r="C18" s="20" t="n">
        <x:v>535.99</x:v>
      </x:c>
      <x:c r="D18" s="20" t="n">
        <x:v>115.28</x:v>
      </x:c>
      <x:c r="E18" s="20" t="n">
        <x:v>228.77</x:v>
      </x:c>
      <x:c r="F18" s="20" t="n">
        <x:v>371.37</x:v>
      </x:c>
      <x:c r="G18" s="21" t="n">
        <x:v>20.64</x:v>
      </x:c>
      <x:c r="H18" s="21" t="n">
        <x:v>19.738</x:v>
      </x:c>
      <x:c r="I18" s="21" t="n">
        <x:v>2.339</x:v>
      </x:c>
      <x:c r="J18" s="20" t="n">
        <x:v>356.84</x:v>
      </x:c>
      <x:c r="K18" s="20" t="n">
        <x:v>355.67</x:v>
      </x:c>
      <x:c r="L18" s="20" t="n">
        <x:v>356.7</x:v>
      </x:c>
      <x:c r="M18" s="20" t="n">
        <x:v>188.92</x:v>
      </x:c>
      <x:c r="N18" t="n">
        <x:v>1</x:v>
      </x:c>
    </x:row>
    <x:row r="19" ht="15" hidden="0" customHeight="1">
      <x:c r="A19" s="19" t="str">
        <x:v>2024-04-29</x:v>
      </x:c>
      <x:c r="B19" s="20" t="n">
        <x:v>568.46</x:v>
      </x:c>
      <x:c r="C19" s="20" t="n">
        <x:v>547.16</x:v>
      </x:c>
      <x:c r="D19" s="20" t="n">
        <x:v>117.1</x:v>
      </x:c>
      <x:c r="E19" s="20" t="n">
        <x:v>226.88</x:v>
      </x:c>
      <x:c r="F19" s="20" t="n">
        <x:v>378.04</x:v>
      </x:c>
      <x:c r="G19" s="21" t="n">
        <x:v>20.138</x:v>
      </x:c>
      <x:c r="H19" s="21" t="n">
        <x:v>20.006</x:v>
      </x:c>
      <x:c r="I19" s="21" t="n">
        <x:v>2.467</x:v>
      </x:c>
      <x:c r="J19" s="20" t="n">
        <x:v>358.8</x:v>
      </x:c>
      <x:c r="K19" s="20" t="n">
        <x:v>360.87</x:v>
      </x:c>
      <x:c r="L19" s="20" t="n">
        <x:v>359.04</x:v>
      </x:c>
      <x:c r="M19" s="20" t="n">
        <x:v>175.42</x:v>
      </x:c>
      <x:c r="N19" t="n">
        <x:v>1</x:v>
      </x:c>
    </x:row>
    <x:row r="20" ht="15" hidden="0" customHeight="1">
      <x:c r="A20" s="19" t="str">
        <x:v>2024-05-06</x:v>
      </x:c>
      <x:c r="B20" s="20" t="n">
        <x:v>572.53</x:v>
      </x:c>
      <x:c r="C20" s="20" t="n">
        <x:v>535.09</x:v>
      </x:c>
      <x:c r="D20" s="20" t="n">
        <x:v>118.48</x:v>
      </x:c>
      <x:c r="E20" s="20" t="n">
        <x:v>224.28</x:v>
      </x:c>
      <x:c r="F20" s="20" t="n">
        <x:v>378.17</x:v>
      </x:c>
      <x:c r="G20" s="21" t="n">
        <x:v>20.599</x:v>
      </x:c>
      <x:c r="H20" s="21" t="n">
        <x:v>19.52</x:v>
      </x:c>
      <x:c r="I20" s="21" t="n">
        <x:v>2.335</x:v>
      </x:c>
      <x:c r="J20" s="20" t="n">
        <x:v>359.7</x:v>
      </x:c>
      <x:c r="K20" s="20" t="n">
        <x:v>360.97</x:v>
      </x:c>
      <x:c r="L20" s="20" t="n">
        <x:v>359.86</x:v>
      </x:c>
      <x:c r="M20" s="20" t="n">
        <x:v>178.67</x:v>
      </x:c>
      <x:c r="N20" t="n">
        <x:v>1</x:v>
      </x:c>
    </x:row>
    <x:row r="21" ht="15" hidden="0" customHeight="1">
      <x:c r="A21" s="19" t="str">
        <x:v>2024-05-13</x:v>
      </x:c>
      <x:c r="B21" s="20" t="n">
        <x:v>573.05</x:v>
      </x:c>
      <x:c r="C21" s="20" t="n">
        <x:v>544.34</x:v>
      </x:c>
      <x:c r="D21" s="20" t="n">
        <x:v>121.59</x:v>
      </x:c>
      <x:c r="E21" s="20" t="n">
        <x:v>235.84</x:v>
      </x:c>
      <x:c r="F21" s="20" t="n">
        <x:v>374.41</x:v>
      </x:c>
      <x:c r="G21" s="21" t="n">
        <x:v>19.73</x:v>
      </x:c>
      <x:c r="H21" s="21" t="n">
        <x:v>19.263</x:v>
      </x:c>
      <x:c r="I21" s="21" t="n">
        <x:v>2.327</x:v>
      </x:c>
      <x:c r="J21" s="20" t="n">
        <x:v>370.47</x:v>
      </x:c>
      <x:c r="K21" s="20" t="n">
        <x:v>358.04</x:v>
      </x:c>
      <x:c r="L21" s="20" t="n">
        <x:v>368.98</x:v>
      </x:c>
      <x:c r="M21" s="20" t="n">
        <x:v>170.08</x:v>
      </x:c>
      <x:c r="N21" t="n">
        <x:v>1</x:v>
      </x:c>
    </x:row>
    <x:row r="22" ht="15" hidden="0" customHeight="1">
      <x:c r="A22" s="19" t="str">
        <x:v>2024-05-20</x:v>
      </x:c>
      <x:c r="B22" s="20" t="n">
        <x:v>559.13</x:v>
      </x:c>
      <x:c r="C22" s="20" t="n">
        <x:v>542.42</x:v>
      </x:c>
      <x:c r="D22" s="20" t="n">
        <x:v>107.43</x:v>
      </x:c>
      <x:c r="E22" s="20" t="n">
        <x:v>221.93</x:v>
      </x:c>
      <x:c r="F22" s="20" t="n">
        <x:v>368.39</x:v>
      </x:c>
      <x:c r="G22" s="21" t="n">
        <x:v>19.736</x:v>
      </x:c>
      <x:c r="H22" s="21" t="n">
        <x:v>18.953</x:v>
      </x:c>
      <x:c r="I22" s="21" t="n">
        <x:v>2.429</x:v>
      </x:c>
      <x:c r="J22" s="20" t="n">
        <x:v>340.85</x:v>
      </x:c>
      <x:c r="K22" s="20" t="n">
        <x:v>353.34</x:v>
      </x:c>
      <x:c r="L22" s="20" t="n">
        <x:v>342.35</x:v>
      </x:c>
      <x:c r="M22" s="20" t="n">
        <x:v>182.78</x:v>
      </x:c>
      <x:c r="N22" t="n">
        <x:v>1</x:v>
      </x:c>
    </x:row>
    <x:row r="23" ht="15" hidden="0" customHeight="1">
      <x:c r="A23" s="19" t="str">
        <x:v>2024-05-27</x:v>
      </x:c>
      <x:c r="B23" s="20" t="n">
        <x:v>566.64</x:v>
      </x:c>
      <x:c r="C23" s="20" t="n">
        <x:v>529.55</x:v>
      </x:c>
      <x:c r="D23" s="20" t="n">
        <x:v>113.02</x:v>
      </x:c>
      <x:c r="E23" s="20" t="n">
        <x:v>211.35</x:v>
      </x:c>
      <x:c r="F23" s="20" t="n">
        <x:v>363.65</x:v>
      </x:c>
      <x:c r="G23" s="21" t="n">
        <x:v>20.438</x:v>
      </x:c>
      <x:c r="H23" s="21" t="n">
        <x:v>18.921</x:v>
      </x:c>
      <x:c r="I23" s="21" t="n">
        <x:v>2.421</x:v>
      </x:c>
      <x:c r="J23" s="20" t="n">
        <x:v>344.51</x:v>
      </x:c>
      <x:c r="K23" s="20" t="n">
        <x:v>349.65</x:v>
      </x:c>
      <x:c r="L23" s="20" t="n">
        <x:v>345.13</x:v>
      </x:c>
      <x:c r="M23" s="20" t="n">
        <x:v>187.52</x:v>
      </x:c>
      <x:c r="N23" t="n">
        <x:v>1</x:v>
      </x:c>
    </x:row>
    <x:row r="24" ht="15" hidden="0" customHeight="1">
      <x:c r="A24" s="19" t="str">
        <x:v>2024-06-03</x:v>
      </x:c>
      <x:c r="B24" s="20" t="n">
        <x:v>547.43</x:v>
      </x:c>
      <x:c r="C24" s="20" t="n">
        <x:v>543.93</x:v>
      </x:c>
      <x:c r="D24" s="20" t="n">
        <x:v>116.8</x:v>
      </x:c>
      <x:c r="E24" s="20" t="n">
        <x:v>207.4</x:v>
      </x:c>
      <x:c r="F24" s="20" t="n">
        <x:v>367.68</x:v>
      </x:c>
      <x:c r="G24" s="21" t="n">
        <x:v>19.753</x:v>
      </x:c>
      <x:c r="H24" s="21" t="n">
        <x:v>18.558</x:v>
      </x:c>
      <x:c r="I24" s="21" t="n">
        <x:v>2.379</x:v>
      </x:c>
      <x:c r="J24" s="20" t="n">
        <x:v>348.57</x:v>
      </x:c>
      <x:c r="K24" s="20" t="n">
        <x:v>352.79</x:v>
      </x:c>
      <x:c r="L24" s="20" t="n">
        <x:v>349.08</x:v>
      </x:c>
      <x:c r="M24" s="20" t="n">
        <x:v>164.35</x:v>
      </x:c>
      <x:c r="N24" t="n">
        <x:v>1</x:v>
      </x:c>
    </x:row>
    <x:row r="25" ht="15" hidden="0" customHeight="1">
      <x:c r="A25" s="19" t="str">
        <x:v>2024-06-10</x:v>
      </x:c>
      <x:c r="B25" s="20" t="n">
        <x:v>552.39</x:v>
      </x:c>
      <x:c r="C25" s="20" t="n">
        <x:v>537.34</x:v>
      </x:c>
      <x:c r="D25" s="20" t="n">
        <x:v>113.22</x:v>
      </x:c>
      <x:c r="E25" s="20" t="n">
        <x:v>217.44</x:v>
      </x:c>
      <x:c r="F25" s="20" t="n">
        <x:v>363.08</x:v>
      </x:c>
      <x:c r="G25" s="21" t="n">
        <x:v>19.933</x:v>
      </x:c>
      <x:c r="H25" s="21" t="n">
        <x:v>19.238</x:v>
      </x:c>
      <x:c r="I25" s="21" t="n">
        <x:v>2.323</x:v>
      </x:c>
      <x:c r="J25" s="20" t="n">
        <x:v>347.87</x:v>
      </x:c>
      <x:c r="K25" s="20" t="n">
        <x:v>349.21</x:v>
      </x:c>
      <x:c r="L25" s="20" t="n">
        <x:v>348.03</x:v>
      </x:c>
      <x:c r="M25" s="20" t="n">
        <x:v>170.36</x:v>
      </x:c>
      <x:c r="N25" t="n">
        <x:v>1</x:v>
      </x:c>
    </x:row>
    <x:row r="26" ht="15" hidden="0" customHeight="1">
      <x:c r="A26" s="19" t="str">
        <x:v>2024-06-17</x:v>
      </x:c>
      <x:c r="B26" s="20" t="n">
        <x:v>551.56</x:v>
      </x:c>
      <x:c r="C26" s="20" t="n">
        <x:v>538.82</x:v>
      </x:c>
      <x:c r="D26" s="20" t="n">
        <x:v>111.54</x:v>
      </x:c>
      <x:c r="E26" s="20" t="n">
        <x:v>208.53</x:v>
      </x:c>
      <x:c r="F26" s="20" t="n">
        <x:v>370.04</x:v>
      </x:c>
      <x:c r="G26" s="21" t="n">
        <x:v>19.52</x:v>
      </x:c>
      <x:c r="H26" s="21" t="n">
        <x:v>18.861</x:v>
      </x:c>
      <x:c r="I26" s="21" t="n">
        <x:v>2.377</x:v>
      </x:c>
      <x:c r="J26" s="20" t="n">
        <x:v>340.73</x:v>
      </x:c>
      <x:c r="K26" s="20" t="n">
        <x:v>354.63</x:v>
      </x:c>
      <x:c r="L26" s="20" t="n">
        <x:v>342.4</x:v>
      </x:c>
      <x:c r="M26" s="20" t="n">
        <x:v>175.16</x:v>
      </x:c>
      <x:c r="N26" t="n">
        <x:v>1</x:v>
      </x:c>
    </x:row>
    <x:row r="27" ht="15" hidden="0" customHeight="1">
      <x:c r="A27" s="19" t="str">
        <x:v>2024-06-24</x:v>
      </x:c>
      <x:c r="B27" s="20" t="n">
        <x:v>557.54</x:v>
      </x:c>
      <x:c r="C27" s="20" t="n">
        <x:v>532.08</x:v>
      </x:c>
      <x:c r="D27" s="20" t="n">
        <x:v>107</x:v>
      </x:c>
      <x:c r="E27" s="20" t="n">
        <x:v>199.88</x:v>
      </x:c>
      <x:c r="F27" s="20" t="n">
        <x:v>356.17</x:v>
      </x:c>
      <x:c r="G27" s="21" t="n">
        <x:v>19.628</x:v>
      </x:c>
      <x:c r="H27" s="21" t="n">
        <x:v>18.766</x:v>
      </x:c>
      <x:c r="I27" s="21" t="n">
        <x:v>2.326</x:v>
      </x:c>
      <x:c r="J27" s="20" t="n">
        <x:v>329.14</x:v>
      </x:c>
      <x:c r="K27" s="20" t="n">
        <x:v>343.82</x:v>
      </x:c>
      <x:c r="L27" s="20" t="n">
        <x:v>330.9</x:v>
      </x:c>
      <x:c r="M27" s="20" t="n">
        <x:v>192.64</x:v>
      </x:c>
      <x:c r="N27" t="n">
        <x:v>1</x:v>
      </x:c>
    </x:row>
    <x:row r="28" ht="15" hidden="0" customHeight="1">
      <x:c r="A28" s="19" t="str">
        <x:v>2024-07-01</x:v>
      </x:c>
      <x:c r="B28" s="20" t="n">
        <x:v>558.27</x:v>
      </x:c>
      <x:c r="C28" s="20" t="n">
        <x:v>521.15</x:v>
      </x:c>
      <x:c r="D28" s="20" t="n">
        <x:v>101.91</x:v>
      </x:c>
      <x:c r="E28" s="20" t="n">
        <x:v>208.97</x:v>
      </x:c>
      <x:c r="F28" s="20" t="n">
        <x:v>370.97</x:v>
      </x:c>
      <x:c r="G28" s="21" t="n">
        <x:v>19.308</x:v>
      </x:c>
      <x:c r="H28" s="21" t="n">
        <x:v>18.746</x:v>
      </x:c>
      <x:c r="I28" s="21" t="n">
        <x:v>2.358</x:v>
      </x:c>
      <x:c r="J28" s="20" t="n">
        <x:v>325.54</x:v>
      </x:c>
      <x:c r="K28" s="20" t="n">
        <x:v>355.35</x:v>
      </x:c>
      <x:c r="L28" s="20" t="n">
        <x:v>329.12</x:v>
      </x:c>
      <x:c r="M28" s="20" t="n">
        <x:v>195.16</x:v>
      </x:c>
      <x:c r="N28" t="n">
        <x:v>1</x:v>
      </x:c>
    </x:row>
    <x:row r="29" ht="15" hidden="0" customHeight="1">
      <x:c r="A29" s="19" t="str">
        <x:v>2024-07-08</x:v>
      </x:c>
      <x:c r="B29" s="20" t="n">
        <x:v>540.95</x:v>
      </x:c>
      <x:c r="C29" s="20" t="n">
        <x:v>527.37</x:v>
      </x:c>
      <x:c r="D29" s="20" t="n">
        <x:v>107.54</x:v>
      </x:c>
      <x:c r="E29" s="20" t="n">
        <x:v>197.83</x:v>
      </x:c>
      <x:c r="F29" s="20" t="n">
        <x:v>360.6</x:v>
      </x:c>
      <x:c r="G29" s="21" t="n">
        <x:v>19.105</x:v>
      </x:c>
      <x:c r="H29" s="21" t="n">
        <x:v>18.265</x:v>
      </x:c>
      <x:c r="I29" s="21" t="n">
        <x:v>2.391</x:v>
      </x:c>
      <x:c r="J29" s="20" t="n">
        <x:v>328.98</x:v>
      </x:c>
      <x:c r="K29" s="20" t="n">
        <x:v>347.27</x:v>
      </x:c>
      <x:c r="L29" s="20" t="n">
        <x:v>331.17</x:v>
      </x:c>
      <x:c r="M29" s="20" t="n">
        <x:v>175.77</x:v>
      </x:c>
      <x:c r="N29" t="n">
        <x:v>1</x:v>
      </x:c>
    </x:row>
    <x:row r="30" ht="15" hidden="0" customHeight="1">
      <x:c r="A30" s="19" t="str">
        <x:v>2024-07-15</x:v>
      </x:c>
      <x:c r="B30" s="20" t="n">
        <x:v>543.67</x:v>
      </x:c>
      <x:c r="C30" s="20" t="n">
        <x:v>518.89</x:v>
      </x:c>
      <x:c r="D30" s="20" t="n">
        <x:v>104.35</x:v>
      </x:c>
      <x:c r="E30" s="20" t="n">
        <x:v>195.46</x:v>
      </x:c>
      <x:c r="F30" s="20" t="n">
        <x:v>353.3</x:v>
      </x:c>
      <x:c r="G30" s="21" t="n">
        <x:v>19.575</x:v>
      </x:c>
      <x:c r="H30" s="21" t="n">
        <x:v>18.708</x:v>
      </x:c>
      <x:c r="I30" s="21" t="n">
        <x:v>2.408</x:v>
      </x:c>
      <x:c r="J30" s="20" t="n">
        <x:v>322.69</x:v>
      </x:c>
      <x:c r="K30" s="20" t="n">
        <x:v>341.57</x:v>
      </x:c>
      <x:c r="L30" s="20" t="n">
        <x:v>324.96</x:v>
      </x:c>
      <x:c r="M30" s="20" t="n">
        <x:v>184.71</x:v>
      </x:c>
      <x:c r="N30" t="n">
        <x:v>1</x:v>
      </x:c>
    </x:row>
    <x:row r="31">
      <x:c r="A31" s="19" t="str">
        <x:v>2024-07-22</x:v>
      </x:c>
      <x:c r="B31" s="20" t="n">
        <x:v>538.58</x:v>
      </x:c>
      <x:c r="C31" s="20" t="n">
        <x:v>514.9</x:v>
      </x:c>
      <x:c r="D31" s="20" t="n">
        <x:v>98.55</x:v>
      </x:c>
      <x:c r="E31" s="20" t="n">
        <x:v>197.09</x:v>
      </x:c>
      <x:c r="F31" s="20" t="n">
        <x:v>348.41</x:v>
      </x:c>
      <x:c r="G31" s="21" t="n">
        <x:v>18.956</x:v>
      </x:c>
      <x:c r="H31" s="21" t="n">
        <x:v>18.502</x:v>
      </x:c>
      <x:c r="I31" s="21" t="n">
        <x:v>2.28</x:v>
      </x:c>
      <x:c r="J31" s="20" t="n">
        <x:v>314.22</x:v>
      </x:c>
      <x:c r="K31" s="20" t="n">
        <x:v>337.76</x:v>
      </x:c>
      <x:c r="L31" s="20" t="n">
        <x:v>317.05</x:v>
      </x:c>
      <x:c r="M31" s="20" t="n">
        <x:v>187.53</x:v>
      </x:c>
      <x:c r="N31" t="n">
        <x:v>1</x:v>
      </x:c>
    </x:row>
    <x:row r="32">
      <x:c r="A32" s="19" t="str">
        <x:v>2024-07-29</x:v>
      </x:c>
      <x:c r="B32" s="20" t="n">
        <x:v>537.09</x:v>
      </x:c>
      <x:c r="C32" s="20" t="n">
        <x:v>510.43</x:v>
      </x:c>
      <x:c r="D32" s="20" t="n">
        <x:v>98.64</x:v>
      </x:c>
      <x:c r="E32" s="20" t="n">
        <x:v>198.69</x:v>
      </x:c>
      <x:c r="F32" s="20" t="n">
        <x:v>343.69</x:v>
      </x:c>
      <x:c r="G32" s="21" t="n">
        <x:v>19.197</x:v>
      </x:c>
      <x:c r="H32" s="21" t="n">
        <x:v>18.215</x:v>
      </x:c>
      <x:c r="I32" s="21" t="n">
        <x:v>2.444</x:v>
      </x:c>
      <x:c r="J32" s="20" t="n">
        <x:v>315.17</x:v>
      </x:c>
      <x:c r="K32" s="20" t="n">
        <x:v>334.07</x:v>
      </x:c>
      <x:c r="L32" s="20" t="n">
        <x:v>317.43</x:v>
      </x:c>
      <x:c r="M32" s="20" t="n">
        <x:v>185.65</x:v>
      </x:c>
      <x:c r="N32" t="n">
        <x:v>1</x:v>
      </x:c>
    </x:row>
    <x:row r="33">
      <x:c r="A33" s="19" t="str">
        <x:v>2024-08-05</x:v>
      </x:c>
      <x:c r="B33" s="20" t="n">
        <x:v>536.29</x:v>
      </x:c>
      <x:c r="C33" s="20" t="n">
        <x:v>508.62</x:v>
      </x:c>
      <x:c r="D33" s="20" t="n">
        <x:v>99.09</x:v>
      </x:c>
      <x:c r="E33" s="20" t="n">
        <x:v>188.73</x:v>
      </x:c>
      <x:c r="F33" s="20" t="n">
        <x:v>360.41</x:v>
      </x:c>
      <x:c r="G33" s="21" t="n">
        <x:v>18.968</x:v>
      </x:c>
      <x:c r="H33" s="21" t="n">
        <x:v>18.397</x:v>
      </x:c>
      <x:c r="I33" s="21" t="n">
        <x:v>2.282</x:v>
      </x:c>
      <x:c r="J33" s="20" t="n">
        <x:v>310.91</x:v>
      </x:c>
      <x:c r="K33" s="20" t="n">
        <x:v>347.12</x:v>
      </x:c>
      <x:c r="L33" s="20" t="n">
        <x:v>315.26</x:v>
      </x:c>
      <x:c r="M33" s="20" t="n">
        <x:v>187.03</x:v>
      </x:c>
      <x:c r="N33" t="n">
        <x:v>1</x:v>
      </x:c>
    </x:row>
    <x:row r="34">
      <x:c r="A34" s="19" t="str">
        <x:v>2024-08-12</x:v>
      </x:c>
      <x:c r="B34" s="20" t="n">
        <x:v>537.36</x:v>
      </x:c>
      <x:c r="C34" s="20" t="n">
        <x:v>497.24</x:v>
      </x:c>
      <x:c r="D34" s="20" t="n">
        <x:v>100.72</x:v>
      </x:c>
      <x:c r="E34" s="20" t="n">
        <x:v>185.29</x:v>
      </x:c>
      <x:c r="F34" s="20" t="n">
        <x:v>340.07</x:v>
      </x:c>
      <x:c r="G34" s="21" t="n">
        <x:v>18.652</x:v>
      </x:c>
      <x:c r="H34" s="21" t="n">
        <x:v>17.805</x:v>
      </x:c>
      <x:c r="I34" s="21" t="n">
        <x:v>2.306</x:v>
      </x:c>
      <x:c r="J34" s="20" t="n">
        <x:v>311.79</x:v>
      </x:c>
      <x:c r="K34" s="20" t="n">
        <x:v>331.25</x:v>
      </x:c>
      <x:c r="L34" s="20" t="n">
        <x:v>314.13</x:v>
      </x:c>
      <x:c r="M34" s="20" t="n">
        <x:v>189.23</x:v>
      </x:c>
      <x:c r="N34" t="n">
        <x:v>1</x:v>
      </x:c>
    </x:row>
    <x:row r="35">
      <x:c r="A35" s="19" t="str">
        <x:v>2024-08-19</x:v>
      </x:c>
      <x:c r="B35" s="20" t="n">
        <x:v>529.04</x:v>
      </x:c>
      <x:c r="C35" s="20" t="n">
        <x:v>500.76</x:v>
      </x:c>
      <x:c r="D35" s="20" t="n">
        <x:v>93.28</x:v>
      </x:c>
      <x:c r="E35" s="20" t="n">
        <x:v>191.98</x:v>
      </x:c>
      <x:c r="F35" s="20" t="n">
        <x:v>340.48</x:v>
      </x:c>
      <x:c r="G35" s="21" t="n">
        <x:v>18.494</x:v>
      </x:c>
      <x:c r="H35" s="21" t="n">
        <x:v>18.229</x:v>
      </x:c>
      <x:c r="I35" s="21" t="n">
        <x:v>2.305</x:v>
      </x:c>
      <x:c r="J35" s="20" t="n">
        <x:v>303.24</x:v>
      </x:c>
      <x:c r="K35" s="20" t="n">
        <x:v>331.57</x:v>
      </x:c>
      <x:c r="L35" s="20" t="n">
        <x:v>306.64</x:v>
      </x:c>
      <x:c r="M35" s="20" t="n">
        <x:v>188.4</x:v>
      </x:c>
      <x:c r="N35" t="n">
        <x:v>1</x:v>
      </x:c>
    </x:row>
    <x:row r="36">
      <x:c r="A36" s="19" t="str">
        <x:v>2024-08-26</x:v>
      </x:c>
      <x:c r="B36" s="20" t="n">
        <x:v>542.18</x:v>
      </x:c>
      <x:c r="C36" s="20" t="n">
        <x:v>501.28</x:v>
      </x:c>
      <x:c r="D36" s="20" t="n">
        <x:v>88.35</x:v>
      </x:c>
      <x:c r="E36" s="20" t="n">
        <x:v>196.1</x:v>
      </x:c>
      <x:c r="F36" s="20" t="n">
        <x:v>339.09</x:v>
      </x:c>
      <x:c r="G36" s="21" t="n">
        <x:v>18.798</x:v>
      </x:c>
      <x:c r="H36" s="21" t="n">
        <x:v>18.033</x:v>
      </x:c>
      <x:c r="I36" s="21" t="n">
        <x:v>2.369</x:v>
      </x:c>
      <x:c r="J36" s="20" t="n">
        <x:v>297.41</x:v>
      </x:c>
      <x:c r="K36" s="20" t="n">
        <x:v>330.49</x:v>
      </x:c>
      <x:c r="L36" s="20" t="n">
        <x:v>301.38</x:v>
      </x:c>
      <x:c r="M36" s="20" t="n">
        <x:v>206.81</x:v>
      </x:c>
      <x:c r="N36" t="n">
        <x:v>1</x:v>
      </x:c>
    </x:row>
    <x:row r="37">
      <x:c r="A37" s="19" t="str">
        <x:v>2024-09-02</x:v>
      </x:c>
      <x:c r="B37" s="20" t="n">
        <x:v>507.64</x:v>
      </x:c>
      <x:c r="C37" s="20" t="n">
        <x:v>492.92</x:v>
      </x:c>
      <x:c r="D37" s="20" t="n">
        <x:v>86.69</x:v>
      </x:c>
      <x:c r="E37" s="20" t="n">
        <x:v>188.47</x:v>
      </x:c>
      <x:c r="F37" s="20" t="n">
        <x:v>338.47</x:v>
      </x:c>
      <x:c r="G37" s="21" t="n">
        <x:v>18.858</x:v>
      </x:c>
      <x:c r="H37" s="21" t="n">
        <x:v>17.845</x:v>
      </x:c>
      <x:c r="I37" s="21" t="n">
        <x:v>2.393</x:v>
      </x:c>
      <x:c r="J37" s="20" t="n">
        <x:v>290.94</x:v>
      </x:c>
      <x:c r="K37" s="20" t="n">
        <x:v>330</x:v>
      </x:c>
      <x:c r="L37" s="20" t="n">
        <x:v>295.63</x:v>
      </x:c>
      <x:c r="M37" s="20" t="n">
        <x:v>178.01</x:v>
      </x:c>
      <x:c r="N37" t="n">
        <x:v>1</x:v>
      </x:c>
    </x:row>
    <x:row r="38">
      <x:c r="A38" s="19" t="str">
        <x:v>2024-09-09</x:v>
      </x:c>
      <x:c r="B38" s="20" t="n">
        <x:v>534.34</x:v>
      </x:c>
      <x:c r="C38" s="20" t="n">
        <x:v>496.17</x:v>
      </x:c>
      <x:c r="D38" s="20" t="n">
        <x:v>88.75</x:v>
      </x:c>
      <x:c r="E38" s="20" t="n">
        <x:v>191.22</x:v>
      </x:c>
      <x:c r="F38" s="20" t="n">
        <x:v>337.81</x:v>
      </x:c>
      <x:c r="G38" s="21" t="n">
        <x:v>18.199</x:v>
      </x:c>
      <x:c r="H38" s="21" t="n">
        <x:v>17.6</x:v>
      </x:c>
      <x:c r="I38" s="21" t="n">
        <x:v>2.391</x:v>
      </x:c>
      <x:c r="J38" s="20" t="n">
        <x:v>295.61</x:v>
      </x:c>
      <x:c r="K38" s="20" t="n">
        <x:v>329.49</x:v>
      </x:c>
      <x:c r="L38" s="20" t="n">
        <x:v>299.67</x:v>
      </x:c>
      <x:c r="M38" s="20" t="n">
        <x:v>200.67</x:v>
      </x:c>
      <x:c r="N38" t="n">
        <x:v>1</x:v>
      </x:c>
    </x:row>
    <x:row r="39">
      <x:c r="A39" s="19" t="str">
        <x:v>2024-09-16</x:v>
      </x:c>
      <x:c r="B39" s="20" t="n">
        <x:v>523.36</x:v>
      </x:c>
      <x:c r="C39" s="20" t="n">
        <x:v>474.12</x:v>
      </x:c>
      <x:c r="D39" s="20" t="n">
        <x:v>97.41</x:v>
      </x:c>
      <x:c r="E39" s="20" t="n">
        <x:v>205.91</x:v>
      </x:c>
      <x:c r="F39" s="20" t="n">
        <x:v>335.23</x:v>
      </x:c>
      <x:c r="G39" s="21" t="n">
        <x:v>18.555</x:v>
      </x:c>
      <x:c r="H39" s="21" t="n">
        <x:v>17.704</x:v>
      </x:c>
      <x:c r="I39" s="21" t="n">
        <x:v>2.323</x:v>
      </x:c>
      <x:c r="J39" s="20" t="n">
        <x:v>316.82</x:v>
      </x:c>
      <x:c r="K39" s="20" t="n">
        <x:v>327.48</x:v>
      </x:c>
      <x:c r="L39" s="20" t="n">
        <x:v>318.1</x:v>
      </x:c>
      <x:c r="M39" s="20" t="n">
        <x:v>171.26</x:v>
      </x:c>
      <x:c r="N39" t="n">
        <x:v>1</x:v>
      </x:c>
    </x:row>
    <x:row r="40">
      <x:c r="A40" s="19" t="str">
        <x:v>2024-09-23</x:v>
      </x:c>
      <x:c r="B40" s="20" t="n">
        <x:v>528.25</x:v>
      </x:c>
      <x:c r="C40" s="20" t="n">
        <x:v>484.31</x:v>
      </x:c>
      <x:c r="D40" s="20" t="n">
        <x:v>96.8</x:v>
      </x:c>
      <x:c r="E40" s="20" t="n">
        <x:v>204.75</x:v>
      </x:c>
      <x:c r="F40" s="20" t="n">
        <x:v>338.18</x:v>
      </x:c>
      <x:c r="G40" s="21" t="n">
        <x:v>18.322</x:v>
      </x:c>
      <x:c r="H40" s="21" t="n">
        <x:v>17.836</x:v>
      </x:c>
      <x:c r="I40" s="21" t="n">
        <x:v>2.357</x:v>
      </x:c>
      <x:c r="J40" s="20" t="n">
        <x:v>315.25</x:v>
      </x:c>
      <x:c r="K40" s="20" t="n">
        <x:v>329.78</x:v>
      </x:c>
      <x:c r="L40" s="20" t="n">
        <x:v>317</x:v>
      </x:c>
      <x:c r="M40" s="20" t="n">
        <x:v>177.25</x:v>
      </x:c>
      <x:c r="N40" t="n">
        <x:v>1</x:v>
      </x:c>
    </x:row>
    <x:row r="41">
      <x:c r="A41" s="19" t="str">
        <x:v>2024-09-30</x:v>
      </x:c>
      <x:c r="B41" s="20" t="n">
        <x:v>536.67</x:v>
      </x:c>
      <x:c r="C41" s="20" t="n">
        <x:v>476.28</x:v>
      </x:c>
      <x:c r="D41" s="20" t="n">
        <x:v>97.36</x:v>
      </x:c>
      <x:c r="E41" s="20" t="n">
        <x:v>211.81</x:v>
      </x:c>
      <x:c r="F41" s="20" t="n">
        <x:v>339.43</x:v>
      </x:c>
      <x:c r="G41" s="21" t="n">
        <x:v>18.496</x:v>
      </x:c>
      <x:c r="H41" s="21" t="n">
        <x:v>17.975</x:v>
      </x:c>
      <x:c r="I41" s="21" t="n">
        <x:v>2.399</x:v>
      </x:c>
      <x:c r="J41" s="20" t="n">
        <x:v>319.67</x:v>
      </x:c>
      <x:c r="K41" s="20" t="n">
        <x:v>330.75</x:v>
      </x:c>
      <x:c r="L41" s="20" t="n">
        <x:v>321</x:v>
      </x:c>
      <x:c r="M41" s="20" t="n">
        <x:v>181.66</x:v>
      </x:c>
      <x:c r="N41" t="n">
        <x:v>1</x:v>
      </x:c>
    </x:row>
    <x:row r="42">
      <x:c r="A42" s="19" t="str">
        <x:v>2024-10-07</x:v>
      </x:c>
      <x:c r="B42" s="20" t="n">
        <x:v>526.35</x:v>
      </x:c>
      <x:c r="C42" s="20" t="n">
        <x:v>470.36</x:v>
      </x:c>
      <x:c r="D42" s="20" t="n">
        <x:v>94.48</x:v>
      </x:c>
      <x:c r="E42" s="20" t="n">
        <x:v>205.11</x:v>
      </x:c>
      <x:c r="F42" s="20" t="n">
        <x:v>324.78</x:v>
      </x:c>
      <x:c r="G42" s="21" t="n">
        <x:v>18.499</x:v>
      </x:c>
      <x:c r="H42" s="21" t="n">
        <x:v>17.809</x:v>
      </x:c>
      <x:c r="I42" s="21" t="n">
        <x:v>2.398</x:v>
      </x:c>
      <x:c r="J42" s="20" t="n">
        <x:v>311.72</x:v>
      </x:c>
      <x:c r="K42" s="20" t="n">
        <x:v>319.33</x:v>
      </x:c>
      <x:c r="L42" s="20" t="n">
        <x:v>312.64</x:v>
      </x:c>
      <x:c r="M42" s="20" t="n">
        <x:v>179.72</x:v>
      </x:c>
      <x:c r="N42" t="n">
        <x:v>1</x:v>
      </x:c>
    </x:row>
    <x:row r="43">
      <x:c r="A43" s="19" t="str">
        <x:v>2024-10-14</x:v>
      </x:c>
      <x:c r="B43" s="20" t="n">
        <x:v>513.24</x:v>
      </x:c>
      <x:c r="C43" s="20" t="n">
        <x:v>498.8</x:v>
      </x:c>
      <x:c r="D43" s="20" t="n">
        <x:v>92.83</x:v>
      </x:c>
      <x:c r="E43" s="20" t="n">
        <x:v>203.55</x:v>
      </x:c>
      <x:c r="F43" s="20" t="n">
        <x:v>334.05</x:v>
      </x:c>
      <x:c r="G43" s="21" t="n">
        <x:v>18.778</x:v>
      </x:c>
      <x:c r="H43" s="21" t="n">
        <x:v>17.762</x:v>
      </x:c>
      <x:c r="I43" s="21" t="n">
        <x:v>2.497</x:v>
      </x:c>
      <x:c r="J43" s="20" t="n">
        <x:v>308.3</x:v>
      </x:c>
      <x:c r="K43" s="20" t="n">
        <x:v>326.56</x:v>
      </x:c>
      <x:c r="L43" s="20" t="n">
        <x:v>310.49</x:v>
      </x:c>
      <x:c r="M43" s="20" t="n">
        <x:v>168.75</x:v>
      </x:c>
      <x:c r="N43" t="n">
        <x:v>1</x:v>
      </x:c>
    </x:row>
    <x:row r="44">
      <x:c r="A44" s="19" t="str">
        <x:v>2024-10-21</x:v>
      </x:c>
      <x:c r="B44" s="20" t="n">
        <x:v>532.92</x:v>
      </x:c>
      <x:c r="C44" s="20" t="n">
        <x:v>476.57</x:v>
      </x:c>
      <x:c r="D44" s="20" t="n">
        <x:v>93.86</x:v>
      </x:c>
      <x:c r="E44" s="20" t="n">
        <x:v>222.21</x:v>
      </x:c>
      <x:c r="F44" s="20" t="n">
        <x:v>342.04</x:v>
      </x:c>
      <x:c r="G44" s="21" t="n">
        <x:v>18.431</x:v>
      </x:c>
      <x:c r="H44" s="21" t="n">
        <x:v>17.77</x:v>
      </x:c>
      <x:c r="I44" s="21" t="n">
        <x:v>2.44</x:v>
      </x:c>
      <x:c r="J44" s="20" t="n">
        <x:v>319.28</x:v>
      </x:c>
      <x:c r="K44" s="20" t="n">
        <x:v>332.79</x:v>
      </x:c>
      <x:c r="L44" s="20" t="n">
        <x:v>320.9</x:v>
      </x:c>
      <x:c r="M44" s="20" t="n">
        <x:v>178.02</x:v>
      </x:c>
      <x:c r="N44" t="n">
        <x:v>1</x:v>
      </x:c>
    </x:row>
    <x:row r="45">
      <x:c r="A45" s="19" t="str">
        <x:v>2024-10-28</x:v>
      </x:c>
      <x:c r="B45" s="20" t="n">
        <x:v>518.48</x:v>
      </x:c>
      <x:c r="C45" s="20" t="n">
        <x:v>479.24</x:v>
      </x:c>
      <x:c r="D45" s="20" t="n">
        <x:v>91.89</x:v>
      </x:c>
      <x:c r="E45" s="20" t="n">
        <x:v>219.71</x:v>
      </x:c>
      <x:c r="F45" s="20" t="n">
        <x:v>341.32</x:v>
      </x:c>
      <x:c r="G45" s="21" t="n">
        <x:v>18.588</x:v>
      </x:c>
      <x:c r="H45" s="21" t="n">
        <x:v>17.793</x:v>
      </x:c>
      <x:c r="I45" s="21" t="n">
        <x:v>2.37</x:v>
      </x:c>
      <x:c r="J45" s="20" t="n">
        <x:v>314.87</x:v>
      </x:c>
      <x:c r="K45" s="20" t="n">
        <x:v>332.23</x:v>
      </x:c>
      <x:c r="L45" s="20" t="n">
        <x:v>316.95</x:v>
      </x:c>
      <x:c r="M45" s="20" t="n">
        <x:v>167.52</x:v>
      </x:c>
      <x:c r="N45" t="n">
        <x:v>1</x:v>
      </x:c>
    </x:row>
    <x:row r="46">
      <x:c r="A46" s="19" t="str">
        <x:v>2024-11-04</x:v>
      </x:c>
      <x:c r="B46" s="20" t="n">
        <x:v>519.92</x:v>
      </x:c>
      <x:c r="C46" s="20" t="n">
        <x:v>469.51</x:v>
      </x:c>
      <x:c r="D46" s="20" t="n">
        <x:v>95.71</x:v>
      </x:c>
      <x:c r="E46" s="20" t="n">
        <x:v>228.83</x:v>
      </x:c>
      <x:c r="F46" s="20" t="n">
        <x:v>336.36</x:v>
      </x:c>
      <x:c r="G46" s="21" t="n">
        <x:v>18.616</x:v>
      </x:c>
      <x:c r="H46" s="21" t="n">
        <x:v>17.999</x:v>
      </x:c>
      <x:c r="I46" s="21" t="n">
        <x:v>2.416</x:v>
      </x:c>
      <x:c r="J46" s="20" t="n">
        <x:v>325.55</x:v>
      </x:c>
      <x:c r="K46" s="20" t="n">
        <x:v>328.36</x:v>
      </x:c>
      <x:c r="L46" s="20" t="n">
        <x:v>325.89</x:v>
      </x:c>
      <x:c r="M46" s="20" t="n">
        <x:v>160.03</x:v>
      </x:c>
      <x:c r="N46" t="n">
        <x:v>1</x:v>
      </x:c>
    </x:row>
    <x:row r="47">
      <x:c r="A47" s="19" t="str">
        <x:v>2024-11-11</x:v>
      </x:c>
      <x:c r="B47" s="20" t="n">
        <x:v>528.32</x:v>
      </x:c>
      <x:c r="C47" s="20" t="n">
        <x:v>478.23</x:v>
      </x:c>
      <x:c r="D47" s="20" t="n">
        <x:v>90.88</x:v>
      </x:c>
      <x:c r="E47" s="20" t="n">
        <x:v>236.15</x:v>
      </x:c>
      <x:c r="F47" s="20" t="n">
        <x:v>335.86</x:v>
      </x:c>
      <x:c r="G47" s="21" t="n">
        <x:v>18.86</x:v>
      </x:c>
      <x:c r="H47" s="21" t="n">
        <x:v>17.716</x:v>
      </x:c>
      <x:c r="I47" s="21" t="n">
        <x:v>2.456</x:v>
      </x:c>
      <x:c r="J47" s="20" t="n">
        <x:v>321.48</x:v>
      </x:c>
      <x:c r="K47" s="20" t="n">
        <x:v>327.97</x:v>
      </x:c>
      <x:c r="L47" s="20" t="n">
        <x:v>322.26</x:v>
      </x:c>
      <x:c r="M47" s="20" t="n">
        <x:v>172.06</x:v>
      </x:c>
      <x:c r="N47" t="n">
        <x:v>1</x:v>
      </x:c>
    </x:row>
    <x:row r="48">
      <x:c r="A48" s="19" t="str">
        <x:v>2024-11-18</x:v>
      </x:c>
      <x:c r="B48" s="20" t="n">
        <x:v>524.83</x:v>
      </x:c>
      <x:c r="C48" s="20" t="n">
        <x:v>496.69</x:v>
      </x:c>
      <x:c r="D48" s="20" t="n">
        <x:v>95.9</x:v>
      </x:c>
      <x:c r="E48" s="20" t="n">
        <x:v>246.12</x:v>
      </x:c>
      <x:c r="F48" s="20" t="n">
        <x:v>350.22</x:v>
      </x:c>
      <x:c r="G48" s="21" t="n">
        <x:v>18.631</x:v>
      </x:c>
      <x:c r="H48" s="21" t="n">
        <x:v>17.653</x:v>
      </x:c>
      <x:c r="I48" s="21" t="n">
        <x:v>2.529</x:v>
      </x:c>
      <x:c r="J48" s="20" t="n">
        <x:v>334.5</x:v>
      </x:c>
      <x:c r="K48" s="20" t="n">
        <x:v>339.17</x:v>
      </x:c>
      <x:c r="L48" s="20" t="n">
        <x:v>335.06</x:v>
      </x:c>
      <x:c r="M48" s="20" t="n">
        <x:v>155.77</x:v>
      </x:c>
      <x:c r="N48" t="n">
        <x:v>1</x:v>
      </x:c>
    </x:row>
    <x:row r="49">
      <x:c r="A49" s="19" t="str">
        <x:v>2024-11-25</x:v>
      </x:c>
      <x:c r="B49" s="20" t="n">
        <x:v>515.25</x:v>
      </x:c>
      <x:c r="C49" s="20" t="n">
        <x:v>497.52</x:v>
      </x:c>
      <x:c r="D49" s="20" t="n">
        <x:v>97.37</x:v>
      </x:c>
      <x:c r="E49" s="20" t="n">
        <x:v>227.81</x:v>
      </x:c>
      <x:c r="F49" s="20" t="n">
        <x:v>351.03</x:v>
      </x:c>
      <x:c r="G49" s="21" t="n">
        <x:v>18.69</x:v>
      </x:c>
      <x:c r="H49" s="21" t="n">
        <x:v>18.116</x:v>
      </x:c>
      <x:c r="I49" s="21" t="n">
        <x:v>2.627</x:v>
      </x:c>
      <x:c r="J49" s="20" t="n">
        <x:v>327.7</x:v>
      </x:c>
      <x:c r="K49" s="20" t="n">
        <x:v>339.8</x:v>
      </x:c>
      <x:c r="L49" s="20" t="n">
        <x:v>329.16</x:v>
      </x:c>
      <x:c r="M49" s="20" t="n">
        <x:v>152.1</x:v>
      </x:c>
      <x:c r="N49" t="n">
        <x:v>1</x:v>
      </x:c>
    </x:row>
    <x:row r="50">
      <x:c r="A50" s="19" t="str">
        <x:v>2024-12-02</x:v>
      </x:c>
      <x:c r="B50" s="20" t="n">
        <x:v>517.38</x:v>
      </x:c>
      <x:c r="C50" s="20" t="n">
        <x:v>477.7</x:v>
      </x:c>
      <x:c r="D50" s="20" t="n">
        <x:v>95.11</x:v>
      </x:c>
      <x:c r="E50" s="20" t="n">
        <x:v>245.43</x:v>
      </x:c>
      <x:c r="F50" s="20" t="n">
        <x:v>339.92</x:v>
      </x:c>
      <x:c r="G50" s="21" t="n">
        <x:v>18.855</x:v>
      </x:c>
      <x:c r="H50" s="21" t="n">
        <x:v>17.98</x:v>
      </x:c>
      <x:c r="I50" s="21" t="n">
        <x:v>2.683</x:v>
      </x:c>
      <x:c r="J50" s="20" t="n">
        <x:v>332.89</x:v>
      </x:c>
      <x:c r="K50" s="20" t="n">
        <x:v>331.13</x:v>
      </x:c>
      <x:c r="L50" s="20" t="n">
        <x:v>332.68</x:v>
      </x:c>
      <x:c r="M50" s="20" t="n">
        <x:v>150.7</x:v>
      </x:c>
      <x:c r="N50" t="n">
        <x:v>1</x:v>
      </x:c>
    </x:row>
    <x:row r="51">
      <x:c r="A51" s="19" t="str">
        <x:v>2024-12-09</x:v>
      </x:c>
      <x:c r="B51" s="20" t="n">
        <x:v>520.84</x:v>
      </x:c>
      <x:c r="C51" s="20" t="n">
        <x:v>479.93</x:v>
      </x:c>
      <x:c r="D51" s="20" t="n">
        <x:v>104.93</x:v>
      </x:c>
      <x:c r="E51" s="20" t="n">
        <x:v>250.78</x:v>
      </x:c>
      <x:c r="F51" s="20" t="n">
        <x:v>352.15</x:v>
      </x:c>
      <x:c r="G51" s="21" t="n">
        <x:v>18.572</x:v>
      </x:c>
      <x:c r="H51" s="21" t="n">
        <x:v>17.789</x:v>
      </x:c>
      <x:c r="I51" s="21" t="n">
        <x:v>2.635</x:v>
      </x:c>
      <x:c r="J51" s="20" t="n">
        <x:v>351.28</x:v>
      </x:c>
      <x:c r="K51" s="20" t="n">
        <x:v>340.67</x:v>
      </x:c>
      <x:c r="L51" s="20" t="n">
        <x:v>350.01</x:v>
      </x:c>
      <x:c r="M51" s="20" t="n">
        <x:v>136.83</x:v>
      </x:c>
      <x:c r="N51" t="n">
        <x:v>1</x:v>
      </x:c>
    </x:row>
    <x:row r="52">
      <x:c r="A52" s="19" t="str">
        <x:v>2024-12-16</x:v>
      </x:c>
      <x:c r="B52" s="20" t="n">
        <x:v>527.8</x:v>
      </x:c>
      <x:c r="C52" s="20" t="n">
        <x:v>500.64</x:v>
      </x:c>
      <x:c r="D52" s="20" t="n">
        <x:v>101.48</x:v>
      </x:c>
      <x:c r="E52" s="20" t="n">
        <x:v>253.27</x:v>
      </x:c>
      <x:c r="F52" s="20" t="n">
        <x:v>354.64</x:v>
      </x:c>
      <x:c r="G52" s="21" t="n">
        <x:v>18.916</x:v>
      </x:c>
      <x:c r="H52" s="21" t="n">
        <x:v>18.409</x:v>
      </x:c>
      <x:c r="I52" s="21" t="n">
        <x:v>2.546</x:v>
      </x:c>
      <x:c r="J52" s="20" t="n">
        <x:v>346.99</x:v>
      </x:c>
      <x:c r="K52" s="20" t="n">
        <x:v>342.62</x:v>
      </x:c>
      <x:c r="L52" s="20" t="n">
        <x:v>346.47</x:v>
      </x:c>
      <x:c r="M52" s="20" t="n">
        <x:v>147.33</x:v>
      </x:c>
      <x:c r="N52" t="n">
        <x:v>1</x:v>
      </x:c>
    </x:row>
    <x:row r="53">
      <x:c r="A53" s="19" t="str">
        <x:v>2024-12-23</x:v>
      </x:c>
      <x:c r="B53" s="20" t="n">
        <x:v>553.11</x:v>
      </x:c>
      <x:c r="C53" s="20" t="n">
        <x:v>491.99</x:v>
      </x:c>
      <x:c r="D53" s="20" t="n">
        <x:v>102.33</x:v>
      </x:c>
      <x:c r="E53" s="20" t="n">
        <x:v>239.08</x:v>
      </x:c>
      <x:c r="F53" s="20" t="n">
        <x:v>351.41</x:v>
      </x:c>
      <x:c r="G53" s="21" t="n">
        <x:v>19.286</x:v>
      </x:c>
      <x:c r="H53" s="21" t="n">
        <x:v>18.406</x:v>
      </x:c>
      <x:c r="I53" s="21" t="n">
        <x:v>2.616</x:v>
      </x:c>
      <x:c r="J53" s="20" t="n">
        <x:v>341.26</x:v>
      </x:c>
      <x:c r="K53" s="20" t="n">
        <x:v>340.1</x:v>
      </x:c>
      <x:c r="L53" s="20" t="n">
        <x:v>341.12</x:v>
      </x:c>
      <x:c r="M53" s="20" t="n">
        <x:v>177.98</x:v>
      </x:c>
      <x:c r="N53" t="n">
        <x:v>1</x:v>
      </x:c>
    </x:row>
    <x:row r="54">
      <x:c r="A54" s="19" t="str">
        <x:v>2024-12-30</x:v>
      </x:c>
      <x:c r="B54" s="20" t="n">
        <x:v>535.65</x:v>
      </x:c>
      <x:c r="C54" s="20" t="n">
        <x:v>496</x:v>
      </x:c>
      <x:c r="D54" s="20" t="n">
        <x:v>101.71</x:v>
      </x:c>
      <x:c r="E54" s="20" t="n">
        <x:v>248.14</x:v>
      </x:c>
      <x:c r="F54" s="20" t="n">
        <x:v>362.29</x:v>
      </x:c>
      <x:c r="G54" s="21" t="n">
        <x:v>19.139</x:v>
      </x:c>
      <x:c r="H54" s="21" t="n">
        <x:v>18.208</x:v>
      </x:c>
      <x:c r="I54" s="21" t="n">
        <x:v>2.672</x:v>
      </x:c>
      <x:c r="J54" s="20" t="n">
        <x:v>344.81</x:v>
      </x:c>
      <x:c r="K54" s="20" t="n">
        <x:v>348.59</x:v>
      </x:c>
      <x:c r="L54" s="20" t="n">
        <x:v>345.26</x:v>
      </x:c>
      <x:c r="M54" s="20" t="n">
        <x:v>156.39</x:v>
      </x:c>
      <x:c r="N54" t="n">
        <x:v>1</x:v>
      </x:c>
    </x:row>
    <x:row r="55">
      <x:c r="A55" s="19" t="str">
        <x:v>2025-01-06</x:v>
      </x:c>
      <x:c r="B55" s="20" t="n">
        <x:v>540.73</x:v>
      </x:c>
      <x:c r="C55" s="20" t="n">
        <x:v>508.94</x:v>
      </x:c>
      <x:c r="D55" s="20" t="n">
        <x:v>105.35</x:v>
      </x:c>
      <x:c r="E55" s="20" t="n">
        <x:v>268.4</x:v>
      </x:c>
      <x:c r="F55" s="20" t="n">
        <x:v>355.41</x:v>
      </x:c>
      <x:c r="G55" s="21" t="n">
        <x:v>19.455</x:v>
      </x:c>
      <x:c r="H55" s="21" t="n">
        <x:v>17.815</x:v>
      </x:c>
      <x:c r="I55" s="21" t="n">
        <x:v>2.712</x:v>
      </x:c>
      <x:c r="J55" s="20" t="n">
        <x:v>360.76</x:v>
      </x:c>
      <x:c r="K55" s="20" t="n">
        <x:v>343.22</x:v>
      </x:c>
      <x:c r="L55" s="20" t="n">
        <x:v>358.65</x:v>
      </x:c>
      <x:c r="M55" s="20" t="n">
        <x:v>148.07</x:v>
      </x:c>
      <x:c r="N55" t="n">
        <x:v>1</x:v>
      </x:c>
    </x:row>
    <x:row r="56">
      <x:c r="A56" s="19" t="str">
        <x:v>2025-01-13</x:v>
      </x:c>
      <x:c r="B56" s="20" t="n">
        <x:v>554.04</x:v>
      </x:c>
      <x:c r="C56" s="20" t="n">
        <x:v>494.03</x:v>
      </x:c>
      <x:c r="D56" s="20" t="n">
        <x:v>109.51</x:v>
      </x:c>
      <x:c r="E56" s="20" t="n">
        <x:v>249.96</x:v>
      </x:c>
      <x:c r="F56" s="20" t="n">
        <x:v>358.49</x:v>
      </x:c>
      <x:c r="G56" s="21" t="n">
        <x:v>19.516</x:v>
      </x:c>
      <x:c r="H56" s="21" t="n">
        <x:v>18.791</x:v>
      </x:c>
      <x:c r="I56" s="21" t="n">
        <x:v>2.799</x:v>
      </x:c>
      <x:c r="J56" s="20" t="n">
        <x:v>358.19</x:v>
      </x:c>
      <x:c r="K56" s="20" t="n">
        <x:v>345.62</x:v>
      </x:c>
      <x:c r="L56" s="20" t="n">
        <x:v>356.68</x:v>
      </x:c>
      <x:c r="M56" s="20" t="n">
        <x:v>163.36</x:v>
      </x:c>
      <x:c r="N56" t="n">
        <x:v>1</x:v>
      </x:c>
    </x:row>
    <x:row r="57">
      <x:c r="A57" s="19" t="str">
        <x:v>2025-01-20</x:v>
      </x:c>
      <x:c r="B57" s="20" t="n">
        <x:v>546.38</x:v>
      </x:c>
      <x:c r="C57" s="20" t="n">
        <x:v>499.41</x:v>
      </x:c>
      <x:c r="D57" s="20" t="n">
        <x:v>109.73</x:v>
      </x:c>
      <x:c r="E57" s="20" t="n">
        <x:v>267.67</x:v>
      </x:c>
      <x:c r="F57" s="20" t="n">
        <x:v>366.89</x:v>
      </x:c>
      <x:c r="G57" s="21" t="n">
        <x:v>19.611</x:v>
      </x:c>
      <x:c r="H57" s="21" t="n">
        <x:v>18.153</x:v>
      </x:c>
      <x:c r="I57" s="21" t="n">
        <x:v>2.704</x:v>
      </x:c>
      <x:c r="J57" s="20" t="n">
        <x:v>367.41</x:v>
      </x:c>
      <x:c r="K57" s="20" t="n">
        <x:v>352.18</x:v>
      </x:c>
      <x:c r="L57" s="20" t="n">
        <x:v>365.58</x:v>
      </x:c>
      <x:c r="M57" s="20" t="n">
        <x:v>146.8</x:v>
      </x:c>
      <x:c r="N57" t="n">
        <x:v>1</x:v>
      </x:c>
    </x:row>
    <x:row r="58">
      <x:c r="A58" s="19" t="str">
        <x:v>2025-01-27</x:v>
      </x:c>
      <x:c r="B58" s="20" t="n">
        <x:v>568.27</x:v>
      </x:c>
      <x:c r="C58" s="20" t="n">
        <x:v>503.04</x:v>
      </x:c>
      <x:c r="D58" s="20" t="n">
        <x:v>102.17</x:v>
      </x:c>
      <x:c r="E58" s="20" t="n">
        <x:v>260.41</x:v>
      </x:c>
      <x:c r="F58" s="20" t="n">
        <x:v>368.92</x:v>
      </x:c>
      <x:c r="G58" s="21" t="n">
        <x:v>19.596</x:v>
      </x:c>
      <x:c r="H58" s="21" t="n">
        <x:v>18.315</x:v>
      </x:c>
      <x:c r="I58" s="21" t="n">
        <x:v>2.772</x:v>
      </x:c>
      <x:c r="J58" s="20" t="n">
        <x:v>351.68</x:v>
      </x:c>
      <x:c r="K58" s="20" t="n">
        <x:v>353.76</x:v>
      </x:c>
      <x:c r="L58" s="20" t="n">
        <x:v>351.93</x:v>
      </x:c>
      <x:c r="M58" s="20" t="n">
        <x:v>182.34</x:v>
      </x:c>
      <x:c r="N58" t="n">
        <x:v>1</x:v>
      </x:c>
    </x:row>
    <x:row r="59">
      <x:c r="A59" s="19" t="str">
        <x:v>2025-02-03</x:v>
      </x:c>
      <x:c r="B59" s="20" t="n">
        <x:v>566.5</x:v>
      </x:c>
      <x:c r="C59" s="20" t="n">
        <x:v>512.47</x:v>
      </x:c>
      <x:c r="D59" s="20" t="n">
        <x:v>112.11</x:v>
      </x:c>
      <x:c r="E59" s="20" t="n">
        <x:v>269.2</x:v>
      </x:c>
      <x:c r="F59" s="20" t="n">
        <x:v>359.43</x:v>
      </x:c>
      <x:c r="G59" s="21" t="n">
        <x:v>19.954</x:v>
      </x:c>
      <x:c r="H59" s="21" t="n">
        <x:v>18.917</x:v>
      </x:c>
      <x:c r="I59" s="21" t="n">
        <x:v>2.865</x:v>
      </x:c>
      <x:c r="J59" s="20" t="n">
        <x:v>371.98</x:v>
      </x:c>
      <x:c r="K59" s="20" t="n">
        <x:v>346.35</x:v>
      </x:c>
      <x:c r="L59" s="20" t="n">
        <x:v>368.9</x:v>
      </x:c>
      <x:c r="M59" s="20" t="n">
        <x:v>163.6</x:v>
      </x:c>
      <x:c r="N59" t="n">
        <x:v>1</x:v>
      </x:c>
    </x:row>
    <x:row r="60">
      <x:c r="A60" s="19" t="str">
        <x:v>2025-02-10</x:v>
      </x:c>
      <x:c r="B60" s="20" t="n">
        <x:v>558.59</x:v>
      </x:c>
      <x:c r="C60" s="20" t="n">
        <x:v>501.28</x:v>
      </x:c>
      <x:c r="D60" s="20" t="n">
        <x:v>109.95</x:v>
      </x:c>
      <x:c r="E60" s="20" t="n">
        <x:v>252.29</x:v>
      </x:c>
      <x:c r="F60" s="20" t="n">
        <x:v>370.23</x:v>
      </x:c>
      <x:c r="G60" s="21" t="n">
        <x:v>19.719</x:v>
      </x:c>
      <x:c r="H60" s="21" t="n">
        <x:v>18.625</x:v>
      </x:c>
      <x:c r="I60" s="21" t="n">
        <x:v>2.865</x:v>
      </x:c>
      <x:c r="J60" s="20" t="n">
        <x:v>360.06</x:v>
      </x:c>
      <x:c r="K60" s="20" t="n">
        <x:v>354.78</x:v>
      </x:c>
      <x:c r="L60" s="20" t="n">
        <x:v>359.43</x:v>
      </x:c>
      <x:c r="M60" s="20" t="n">
        <x:v>165.16</x:v>
      </x:c>
      <x:c r="N60" t="n">
        <x:v>1</x:v>
      </x:c>
    </x:row>
    <x:row r="61">
      <x:c r="A61" s="19" t="str">
        <x:v>2025-02-17</x:v>
      </x:c>
      <x:c r="B61" s="20" t="n">
        <x:v>546</x:v>
      </x:c>
      <x:c r="C61" s="20" t="n">
        <x:v>515.51</x:v>
      </x:c>
      <x:c r="D61" s="20" t="n">
        <x:v>110.96</x:v>
      </x:c>
      <x:c r="E61" s="20" t="n">
        <x:v>250.07</x:v>
      </x:c>
      <x:c r="F61" s="20" t="n">
        <x:v>365.19</x:v>
      </x:c>
      <x:c r="G61" s="21" t="n">
        <x:v>19.798</x:v>
      </x:c>
      <x:c r="H61" s="21" t="n">
        <x:v>19.187</x:v>
      </x:c>
      <x:c r="I61" s="21" t="n">
        <x:v>2.83</x:v>
      </x:c>
      <x:c r="J61" s="20" t="n">
        <x:v>360.58</x:v>
      </x:c>
      <x:c r="K61" s="20" t="n">
        <x:v>350.85</x:v>
      </x:c>
      <x:c r="L61" s="20" t="n">
        <x:v>359.41</x:v>
      </x:c>
      <x:c r="M61" s="20" t="n">
        <x:v>152.59</x:v>
      </x:c>
      <x:c r="N61" t="n">
        <x:v>1</x:v>
      </x:c>
    </x:row>
    <x:row r="62">
      <x:c r="A62" s="19" t="str">
        <x:v>2025-02-24</x:v>
      </x:c>
      <x:c r="B62" s="20" t="n">
        <x:v>560.02</x:v>
      </x:c>
      <x:c r="C62" s="20" t="n">
        <x:v>513.12</x:v>
      </x:c>
      <x:c r="D62" s="20" t="n">
        <x:v>107.24</x:v>
      </x:c>
      <x:c r="E62" s="20" t="n">
        <x:v>256.71</x:v>
      </x:c>
      <x:c r="F62" s="20" t="n">
        <x:v>372.04</x:v>
      </x:c>
      <x:c r="G62" s="21" t="n">
        <x:v>20.162</x:v>
      </x:c>
      <x:c r="H62" s="21" t="n">
        <x:v>18.64</x:v>
      </x:c>
      <x:c r="I62" s="21" t="n">
        <x:v>2.931</x:v>
      </x:c>
      <x:c r="J62" s="20" t="n">
        <x:v>357.93</x:v>
      </x:c>
      <x:c r="K62" s="20" t="n">
        <x:v>356.19</x:v>
      </x:c>
      <x:c r="L62" s="20" t="n">
        <x:v>357.73</x:v>
      </x:c>
      <x:c r="M62" s="20" t="n">
        <x:v>168.3</x:v>
      </x:c>
      <x:c r="N62" t="n">
        <x:v>1</x:v>
      </x:c>
    </x:row>
    <x:row r="63">
      <x:c r="A63" s="19" t="str">
        <x:v>2025-03-03</x:v>
      </x:c>
      <x:c r="B63" s="20" t="n">
        <x:v>559.63</x:v>
      </x:c>
      <x:c r="C63" s="20" t="n">
        <x:v>518.85</x:v>
      </x:c>
      <x:c r="D63" s="20" t="n">
        <x:v>114.55</x:v>
      </x:c>
      <x:c r="E63" s="20" t="n">
        <x:v>246.2</x:v>
      </x:c>
      <x:c r="F63" s="20" t="n">
        <x:v>382.96</x:v>
      </x:c>
      <x:c r="G63" s="21" t="n">
        <x:v>20.007</x:v>
      </x:c>
      <x:c r="H63" s="21" t="n">
        <x:v>19.01</x:v>
      </x:c>
      <x:c r="I63" s="21" t="n">
        <x:v>2.811</x:v>
      </x:c>
      <x:c r="J63" s="20" t="n">
        <x:v>364.38</x:v>
      </x:c>
      <x:c r="K63" s="20" t="n">
        <x:v>364.71</x:v>
      </x:c>
      <x:c r="L63" s="20" t="n">
        <x:v>364.42</x:v>
      </x:c>
      <x:c r="M63" s="20" t="n">
        <x:v>161.22</x:v>
      </x:c>
      <x:c r="N63" t="n">
        <x:v>1</x:v>
      </x:c>
    </x:row>
    <x:row r="64">
      <x:c r="A64" s="19" t="str">
        <x:v>2025-03-10</x:v>
      </x:c>
      <x:c r="B64" s="20" t="n">
        <x:v>560.33</x:v>
      </x:c>
      <x:c r="C64" s="20" t="n">
        <x:v>512.9</x:v>
      </x:c>
      <x:c r="D64" s="20" t="n">
        <x:v>114.58</x:v>
      </x:c>
      <x:c r="E64" s="20" t="n">
        <x:v>250.97</x:v>
      </x:c>
      <x:c r="F64" s="20" t="n">
        <x:v>371.21</x:v>
      </x:c>
      <x:c r="G64" s="21" t="n">
        <x:v>20.151</x:v>
      </x:c>
      <x:c r="H64" s="21" t="n">
        <x:v>18.896</x:v>
      </x:c>
      <x:c r="I64" s="21" t="n">
        <x:v>2.925</x:v>
      </x:c>
      <x:c r="J64" s="20" t="n">
        <x:v>366.81</x:v>
      </x:c>
      <x:c r="K64" s="20" t="n">
        <x:v>355.54</x:v>
      </x:c>
      <x:c r="L64" s="20" t="n">
        <x:v>365.45</x:v>
      </x:c>
      <x:c r="M64" s="20" t="n">
        <x:v>160.88</x:v>
      </x:c>
      <x:c r="N64" t="n">
        <x:v>1</x:v>
      </x:c>
    </x:row>
    <x:row r="65">
      <x:c r="A65" s="19" t="str">
        <x:v>2025-03-17</x:v>
      </x:c>
      <x:c r="B65" s="20" t="n">
        <x:v>555.19</x:v>
      </x:c>
      <x:c r="C65" s="20" t="n">
        <x:v>517.58</x:v>
      </x:c>
      <x:c r="D65" s="20" t="n">
        <x:v>115.27</x:v>
      </x:c>
      <x:c r="E65" s="20" t="n">
        <x:v>246.76</x:v>
      </x:c>
      <x:c r="F65" s="20" t="n">
        <x:v>374.99</x:v>
      </x:c>
      <x:c r="G65" s="21" t="n">
        <x:v>20.212</x:v>
      </x:c>
      <x:c r="H65" s="21" t="n">
        <x:v>19.008</x:v>
      </x:c>
      <x:c r="I65" s="21" t="n">
        <x:v>2.917</x:v>
      </x:c>
      <x:c r="J65" s="20" t="n">
        <x:v>365.81</x:v>
      </x:c>
      <x:c r="K65" s="20" t="n">
        <x:v>358.49</x:v>
      </x:c>
      <x:c r="L65" s="20" t="n">
        <x:v>364.94</x:v>
      </x:c>
      <x:c r="M65" s="20" t="n">
        <x:v>156.26</x:v>
      </x:c>
      <x:c r="N65" t="n">
        <x:v>1</x:v>
      </x:c>
    </x:row>
    <x:row r="66">
      <x:c r="A66" s="19" t="str">
        <x:v>2025-03-24</x:v>
      </x:c>
      <x:c r="B66" s="20" t="n">
        <x:v>559.18</x:v>
      </x:c>
      <x:c r="C66" s="20" t="n">
        <x:v>528.74</x:v>
      </x:c>
      <x:c r="D66" s="20" t="n">
        <x:v>118.24</x:v>
      </x:c>
      <x:c r="E66" s="20" t="n">
        <x:v>239.73</x:v>
      </x:c>
      <x:c r="F66" s="20" t="n">
        <x:v>376.71</x:v>
      </x:c>
      <x:c r="G66" s="21" t="n">
        <x:v>20.193</x:v>
      </x:c>
      <x:c r="H66" s="21" t="n">
        <x:v>18.401</x:v>
      </x:c>
      <x:c r="I66" s="21" t="n">
        <x:v>2.95</x:v>
      </x:c>
      <x:c r="J66" s="20" t="n">
        <x:v>367.05</x:v>
      </x:c>
      <x:c r="K66" s="20" t="n">
        <x:v>359.83</x:v>
      </x:c>
      <x:c r="L66" s="20" t="n">
        <x:v>366.18</x:v>
      </x:c>
      <x:c r="M66" s="20" t="n">
        <x:v>159</x:v>
      </x:c>
      <x:c r="N66" t="n">
        <x:v>1</x:v>
      </x:c>
    </x:row>
    <x:row r="67">
      <x:c r="A67" s="19" t="str">
        <x:v>2025-03-31</x:v>
      </x:c>
      <x:c r="B67" s="20" t="n">
        <x:v>574.01</x:v>
      </x:c>
      <x:c r="C67" s="20" t="n">
        <x:v>520.7</x:v>
      </x:c>
      <x:c r="D67" s="20" t="n">
        <x:v>116.94</x:v>
      </x:c>
      <x:c r="E67" s="20" t="n">
        <x:v>245.05</x:v>
      </x:c>
      <x:c r="F67" s="20" t="n">
        <x:v>377.83</x:v>
      </x:c>
      <x:c r="G67" s="21" t="n">
        <x:v>20.16</x:v>
      </x:c>
      <x:c r="H67" s="21" t="n">
        <x:v>18.637</x:v>
      </x:c>
      <x:c r="I67" s="21" t="n">
        <x:v>3.006</x:v>
      </x:c>
      <x:c r="J67" s="20" t="n">
        <x:v>367.62</x:v>
      </x:c>
      <x:c r="K67" s="20" t="n">
        <x:v>360.71</x:v>
      </x:c>
      <x:c r="L67" s="20" t="n">
        <x:v>366.79</x:v>
      </x:c>
      <x:c r="M67" s="20" t="n">
        <x:v>173.21</x:v>
      </x:c>
      <x:c r="N67" t="n">
        <x:v>1</x:v>
      </x:c>
    </x:row>
    <x:row r="68">
      <x:c r="A68" s="19" t="str">
        <x:v>2025-04-07</x:v>
      </x:c>
      <x:c r="B68" s="20" t="n">
        <x:v>564.52</x:v>
      </x:c>
      <x:c r="C68" s="20" t="n">
        <x:v>530.49</x:v>
      </x:c>
      <x:c r="D68" s="20" t="n">
        <x:v>112.6</x:v>
      </x:c>
      <x:c r="E68" s="20" t="n">
        <x:v>241.48</x:v>
      </x:c>
      <x:c r="F68" s="20" t="n">
        <x:v>375.89</x:v>
      </x:c>
      <x:c r="G68" s="21" t="n">
        <x:v>19.729</x:v>
      </x:c>
      <x:c r="H68" s="21" t="n">
        <x:v>18.678</x:v>
      </x:c>
      <x:c r="I68" s="21" t="n">
        <x:v>2.933</x:v>
      </x:c>
      <x:c r="J68" s="20" t="n">
        <x:v>358.9</x:v>
      </x:c>
      <x:c r="K68" s="20" t="n">
        <x:v>359.2</x:v>
      </x:c>
      <x:c r="L68" s="20" t="n">
        <x:v>358.94</x:v>
      </x:c>
      <x:c r="M68" s="20" t="n">
        <x:v>171.58</x:v>
      </x:c>
      <x:c r="N68" t="n">
        <x:v>1</x:v>
      </x:c>
    </x:row>
    <x:row r="69">
      <x:c r="A69" s="19" t="str">
        <x:v>2025-04-14</x:v>
      </x:c>
      <x:c r="B69" s="20" t="n">
        <x:v>561.04</x:v>
      </x:c>
      <x:c r="C69" s="20" t="n">
        <x:v>523.28</x:v>
      </x:c>
      <x:c r="D69" s="20" t="n">
        <x:v>110.39</x:v>
      </x:c>
      <x:c r="E69" s="20" t="n">
        <x:v>234.47</x:v>
      </x:c>
      <x:c r="F69" s="20" t="n">
        <x:v>373.28</x:v>
      </x:c>
      <x:c r="G69" s="21" t="n">
        <x:v>19.524</x:v>
      </x:c>
      <x:c r="H69" s="21" t="n">
        <x:v>19.001</x:v>
      </x:c>
      <x:c r="I69" s="21" t="n">
        <x:v>3.028</x:v>
      </x:c>
      <x:c r="J69" s="20" t="n">
        <x:v>351.86</x:v>
      </x:c>
      <x:c r="K69" s="20" t="n">
        <x:v>357.16</x:v>
      </x:c>
      <x:c r="L69" s="20" t="n">
        <x:v>352.5</x:v>
      </x:c>
      <x:c r="M69" s="20" t="n">
        <x:v>174.54</x:v>
      </x:c>
      <x:c r="N69" t="n">
        <x:v>1</x:v>
      </x:c>
    </x:row>
    <x:row r="70">
      <x:c r="A70" s="19" t="str">
        <x:v>2025-04-21</x:v>
      </x:c>
      <x:c r="B70" s="20" t="n">
        <x:v>558.86</x:v>
      </x:c>
      <x:c r="C70" s="20" t="n">
        <x:v>526.39</x:v>
      </x:c>
      <x:c r="D70" s="20" t="n">
        <x:v>112.14</x:v>
      </x:c>
      <x:c r="E70" s="20" t="n">
        <x:v>223.72</x:v>
      </x:c>
      <x:c r="F70" s="20" t="n">
        <x:v>362.37</x:v>
      </x:c>
      <x:c r="G70" s="21" t="n">
        <x:v>19.796</x:v>
      </x:c>
      <x:c r="H70" s="21" t="n">
        <x:v>19.063</x:v>
      </x:c>
      <x:c r="I70" s="21" t="n">
        <x:v>3.041</x:v>
      </x:c>
      <x:c r="J70" s="20" t="n">
        <x:v>349.28</x:v>
      </x:c>
      <x:c r="K70" s="20" t="n">
        <x:v>348.65</x:v>
      </x:c>
      <x:c r="L70" s="20" t="n">
        <x:v>349.2</x:v>
      </x:c>
      <x:c r="M70" s="20" t="n">
        <x:v>175.66</x:v>
      </x:c>
      <x:c r="N70" t="n">
        <x:v>1</x:v>
      </x:c>
    </x:row>
    <x:row r="71">
      <x:c r="A71" s="19" t="str">
        <x:v>2025-04-28</x:v>
      </x:c>
      <x:c r="B71" s="20" t="n">
        <x:v>563</x:v>
      </x:c>
      <x:c r="C71" s="20" t="n">
        <x:v>522.7</x:v>
      </x:c>
      <x:c r="D71" s="20" t="n">
        <x:v>112.15</x:v>
      </x:c>
      <x:c r="E71" s="20" t="n">
        <x:v>234.04</x:v>
      </x:c>
      <x:c r="F71" s="20" t="n">
        <x:v>366.41</x:v>
      </x:c>
      <x:c r="G71" s="21" t="n">
        <x:v>20.09</x:v>
      </x:c>
      <x:c r="H71" s="21" t="n">
        <x:v>18.837</x:v>
      </x:c>
      <x:c r="I71" s="21" t="n">
        <x:v>2.916</x:v>
      </x:c>
      <x:c r="J71" s="20" t="n">
        <x:v>354.46</x:v>
      </x:c>
      <x:c r="K71" s="20" t="n">
        <x:v>351.8</x:v>
      </x:c>
      <x:c r="L71" s="20" t="n">
        <x:v>354.14</x:v>
      </x:c>
      <x:c r="M71" s="20" t="n">
        <x:v>174.86</x:v>
      </x:c>
      <x:c r="N71" t="n">
        <x:v>1</x:v>
      </x:c>
    </x:row>
    <x:row r="72">
      <x:c r="A72" s="19" t="str">
        <x:v>2025-05-05</x:v>
      </x:c>
      <x:c r="B72" s="20" t="n">
        <x:v>563.16</x:v>
      </x:c>
      <x:c r="C72" s="20" t="n">
        <x:v>525.85</x:v>
      </x:c>
      <x:c r="D72" s="20" t="n">
        <x:v>110.08</x:v>
      </x:c>
      <x:c r="E72" s="20" t="n">
        <x:v>219.91</x:v>
      </x:c>
      <x:c r="F72" s="20" t="n">
        <x:v>375.01</x:v>
      </x:c>
      <x:c r="G72" s="21" t="n">
        <x:v>20.084</x:v>
      </x:c>
      <x:c r="H72" s="21" t="n">
        <x:v>19.006</x:v>
      </x:c>
      <x:c r="I72" s="21" t="n">
        <x:v>3.017</x:v>
      </x:c>
      <x:c r="J72" s="20" t="n">
        <x:v>344.09</x:v>
      </x:c>
      <x:c r="K72" s="20" t="n">
        <x:v>358.51</x:v>
      </x:c>
      <x:c r="L72" s="20" t="n">
        <x:v>345.82</x:v>
      </x:c>
      <x:c r="M72" s="20" t="n">
        <x:v>183.35</x:v>
      </x:c>
      <x:c r="N72" t="n">
        <x:v>1</x:v>
      </x:c>
    </x:row>
    <x:row r="73">
      <x:c r="A73" s="19" t="str">
        <x:v>2025-05-12</x:v>
      </x:c>
      <x:c r="B73" s="20" t="n">
        <x:v>537.57</x:v>
      </x:c>
      <x:c r="C73" s="20" t="n">
        <x:v>531.59</x:v>
      </x:c>
      <x:c r="D73" s="20" t="n">
        <x:v>115.55</x:v>
      </x:c>
      <x:c r="E73" s="20" t="n">
        <x:v>216.64</x:v>
      </x:c>
      <x:c r="F73" s="20" t="n">
        <x:v>375.16</x:v>
      </x:c>
      <x:c r="G73" s="21" t="n">
        <x:v>19.789</x:v>
      </x:c>
      <x:c r="H73" s="21" t="n">
        <x:v>18.514</x:v>
      </x:c>
      <x:c r="I73" s="21" t="n">
        <x:v>2.999</x:v>
      </x:c>
      <x:c r="J73" s="20" t="n">
        <x:v>351.21</x:v>
      </x:c>
      <x:c r="K73" s="20" t="n">
        <x:v>358.63</x:v>
      </x:c>
      <x:c r="L73" s="20" t="n">
        <x:v>352.1</x:v>
      </x:c>
      <x:c r="M73" s="20" t="n">
        <x:v>151.48</x:v>
      </x:c>
      <x:c r="N73" t="n">
        <x:v>1</x:v>
      </x:c>
    </x:row>
    <x:row r="74">
      <x:c r="A74" s="19" t="str">
        <x:v>2025-05-19</x:v>
      </x:c>
      <x:c r="B74" s="20" t="n">
        <x:v>554.7</x:v>
      </x:c>
      <x:c r="C74" s="20" t="n">
        <x:v>543.05</x:v>
      </x:c>
      <x:c r="D74" s="20" t="n">
        <x:v>109</x:v>
      </x:c>
      <x:c r="E74" s="20" t="n">
        <x:v>222.47</x:v>
      </x:c>
      <x:c r="F74" s="20" t="n">
        <x:v>363.56</x:v>
      </x:c>
      <x:c r="G74" s="21" t="n">
        <x:v>19.885</x:v>
      </x:c>
      <x:c r="H74" s="21" t="n">
        <x:v>18.758</x:v>
      </x:c>
      <x:c r="I74" s="21" t="n">
        <x:v>3.067</x:v>
      </x:c>
      <x:c r="J74" s="20" t="n">
        <x:v>343.64</x:v>
      </x:c>
      <x:c r="K74" s="20" t="n">
        <x:v>349.57</x:v>
      </x:c>
      <x:c r="L74" s="20" t="n">
        <x:v>344.35</x:v>
      </x:c>
      <x:c r="M74" s="20" t="n">
        <x:v>176.35</x:v>
      </x:c>
      <x:c r="N74" t="n">
        <x:v>1</x:v>
      </x:c>
    </x:row>
    <x:row r="75">
      <x:c r="A75" s="19" t="str">
        <x:v>2025-05-26</x:v>
      </x:c>
      <x:c r="B75" s="20" t="n">
        <x:v>558.94</x:v>
      </x:c>
      <x:c r="C75" s="20" t="n">
        <x:v>521.15</x:v>
      </x:c>
      <x:c r="D75" s="20" t="n">
        <x:v>110.2</x:v>
      </x:c>
      <x:c r="E75" s="20" t="n">
        <x:v>208.86</x:v>
      </x:c>
      <x:c r="F75" s="20" t="n">
        <x:v>365.67</x:v>
      </x:c>
      <x:c r="G75" s="21" t="n">
        <x:v>19.777</x:v>
      </x:c>
      <x:c r="H75" s="21" t="n">
        <x:v>18.738</x:v>
      </x:c>
      <x:c r="I75" s="21" t="n">
        <x:v>3.026</x:v>
      </x:c>
      <x:c r="J75" s="20" t="n">
        <x:v>338.75</x:v>
      </x:c>
      <x:c r="K75" s="20" t="n">
        <x:v>351.23</x:v>
      </x:c>
      <x:c r="L75" s="20" t="n">
        <x:v>340.25</x:v>
      </x:c>
      <x:c r="M75" s="20" t="n">
        <x:v>184.69</x:v>
      </x:c>
      <x:c r="N75" t="n">
        <x:v>1</x:v>
      </x:c>
    </x:row>
    <x:row r="76">
      <x:c r="A76" s="19" t="str">
        <x:v>2025-06-02</x:v>
      </x:c>
      <x:c r="B76" s="20" t="n">
        <x:v>540.22</x:v>
      </x:c>
      <x:c r="C76" s="20" t="n">
        <x:v>520.36</x:v>
      </x:c>
      <x:c r="D76" s="20" t="n">
        <x:v>104.11</x:v>
      </x:c>
      <x:c r="E76" s="20" t="n">
        <x:v>215.95</x:v>
      </x:c>
      <x:c r="F76" s="20" t="n">
        <x:v>363.87</x:v>
      </x:c>
      <x:c r="G76" s="21" t="n">
        <x:v>19.336</x:v>
      </x:c>
      <x:c r="H76" s="21" t="n">
        <x:v>19.161</x:v>
      </x:c>
      <x:c r="I76" s="21" t="n">
        <x:v>2.938</x:v>
      </x:c>
      <x:c r="J76" s="20" t="n">
        <x:v>332.55</x:v>
      </x:c>
      <x:c r="K76" s="20" t="n">
        <x:v>349.82</x:v>
      </x:c>
      <x:c r="L76" s="20" t="n">
        <x:v>334.63</x:v>
      </x:c>
      <x:c r="M76" s="20" t="n">
        <x:v>171.59</x:v>
      </x:c>
      <x:c r="N76" t="n">
        <x:v>1</x:v>
      </x:c>
    </x:row>
    <x:row r="77">
      <x:c r="A77" s="19" t="str">
        <x:v>2025-06-09</x:v>
      </x:c>
      <x:c r="B77" s="20" t="n">
        <x:v>546.03</x:v>
      </x:c>
      <x:c r="C77" s="20" t="n">
        <x:v>512.31</x:v>
      </x:c>
      <x:c r="D77" s="20" t="n">
        <x:v>105.18</x:v>
      </x:c>
      <x:c r="E77" s="20" t="n">
        <x:v>199.08</x:v>
      </x:c>
      <x:c r="F77" s="20" t="n">
        <x:v>356.95</x:v>
      </x:c>
      <x:c r="G77" s="21" t="n">
        <x:v>19.429</x:v>
      </x:c>
      <x:c r="H77" s="21" t="n">
        <x:v>18.175</x:v>
      </x:c>
      <x:c r="I77" s="21" t="n">
        <x:v>2.965</x:v>
      </x:c>
      <x:c r="J77" s="20" t="n">
        <x:v>325.82</x:v>
      </x:c>
      <x:c r="K77" s="20" t="n">
        <x:v>344.42</x:v>
      </x:c>
      <x:c r="L77" s="20" t="n">
        <x:v>328.05</x:v>
      </x:c>
      <x:c r="M77" s="20" t="n">
        <x:v>183.97</x:v>
      </x:c>
      <x:c r="N77" t="n">
        <x:v>1</x:v>
      </x:c>
    </x:row>
    <x:row r="78">
      <x:c r="A78" s="19" t="str">
        <x:v>2025-06-16</x:v>
      </x:c>
      <x:c r="B78" s="20" t="n">
        <x:v>540.15</x:v>
      </x:c>
      <x:c r="C78" s="20" t="n">
        <x:v>521.73</x:v>
      </x:c>
      <x:c r="D78" s="20" t="n">
        <x:v>101.73</x:v>
      </x:c>
      <x:c r="E78" s="20" t="n">
        <x:v>196.26</x:v>
      </x:c>
      <x:c r="F78" s="20" t="n">
        <x:v>362.61</x:v>
      </x:c>
      <x:c r="G78" s="21" t="n">
        <x:v>19.239</x:v>
      </x:c>
      <x:c r="H78" s="21" t="n">
        <x:v>18.419</x:v>
      </x:c>
      <x:c r="I78" s="21" t="n">
        <x:v>2.982</x:v>
      </x:c>
      <x:c r="J78" s="20" t="n">
        <x:v>318.89</x:v>
      </x:c>
      <x:c r="K78" s="20" t="n">
        <x:v>348.83</x:v>
      </x:c>
      <x:c r="L78" s="20" t="n">
        <x:v>322.48</x:v>
      </x:c>
      <x:c r="M78" s="20" t="n">
        <x:v>183.67</x:v>
      </x:c>
      <x:c r="N78" t="n">
        <x:v>1</x:v>
      </x:c>
    </x:row>
    <x:row r="79">
      <x:c r="A79" s="19" t="str">
        <x:v>2025-06-23</x:v>
      </x:c>
      <x:c r="B79" s="20" t="n">
        <x:v>529.38</x:v>
      </x:c>
      <x:c r="C79" s="20" t="n">
        <x:v>499.56</x:v>
      </x:c>
      <x:c r="D79" s="20" t="n">
        <x:v>100.54</x:v>
      </x:c>
      <x:c r="E79" s="20" t="n">
        <x:v>195.55</x:v>
      </x:c>
      <x:c r="F79" s="20" t="n">
        <x:v>355.5</x:v>
      </x:c>
      <x:c r="G79" s="21" t="n">
        <x:v>18.926</x:v>
      </x:c>
      <x:c r="H79" s="21" t="n">
        <x:v>18.481</x:v>
      </x:c>
      <x:c r="I79" s="21" t="n">
        <x:v>3.016</x:v>
      </x:c>
      <x:c r="J79" s="20" t="n">
        <x:v>316.64</x:v>
      </x:c>
      <x:c r="K79" s="20" t="n">
        <x:v>343.29</x:v>
      </x:c>
      <x:c r="L79" s="20" t="n">
        <x:v>319.84</x:v>
      </x:c>
      <x:c r="M79" s="20" t="n">
        <x:v>175.55</x:v>
      </x:c>
      <x:c r="N79" t="n">
        <x:v>1</x:v>
      </x:c>
    </x:row>
    <x:row r="80">
      <x:c r="A80" s="19" t="str">
        <x:v>2025-06-30</x:v>
      </x:c>
      <x:c r="B80" s="20" t="n">
        <x:v>535.83</x:v>
      </x:c>
      <x:c r="C80" s="20" t="n">
        <x:v>498.24</x:v>
      </x:c>
      <x:c r="D80" s="20" t="n">
        <x:v>105.41</x:v>
      </x:c>
      <x:c r="E80" s="20" t="n">
        <x:v>186.11</x:v>
      </x:c>
      <x:c r="F80" s="20" t="n">
        <x:v>349.56</x:v>
      </x:c>
      <x:c r="G80" s="21" t="n">
        <x:v>18.984</x:v>
      </x:c>
      <x:c r="H80" s="21" t="n">
        <x:v>17.921</x:v>
      </x:c>
      <x:c r="I80" s="21" t="n">
        <x:v>3.082</x:v>
      </x:c>
      <x:c r="J80" s="20" t="n">
        <x:v>319.71</x:v>
      </x:c>
      <x:c r="K80" s="20" t="n">
        <x:v>338.65</x:v>
      </x:c>
      <x:c r="L80" s="20" t="n">
        <x:v>321.99</x:v>
      </x:c>
      <x:c r="M80" s="20" t="n">
        <x:v>179.84</x:v>
      </x:c>
      <x:c r="N80" t="n">
        <x:v>1</x:v>
      </x:c>
    </x:row>
    <x:row r="81">
      <x:c r="A81" s="19" t="str">
        <x:v>2025-07-07</x:v>
      </x:c>
      <x:c r="B81" s="20" t="n">
        <x:v>539.4</x:v>
      </x:c>
      <x:c r="C81" s="20" t="n">
        <x:v>504.53</x:v>
      </x:c>
      <x:c r="D81" s="20" t="n">
        <x:v>99.81</x:v>
      </x:c>
      <x:c r="E81" s="20" t="n">
        <x:v>188.25</x:v>
      </x:c>
      <x:c r="F81" s="20" t="n">
        <x:v>357.97</x:v>
      </x:c>
      <x:c r="G81" s="21" t="n">
        <x:v>18.962</x:v>
      </x:c>
      <x:c r="H81" s="21" t="n">
        <x:v>17.947</x:v>
      </x:c>
      <x:c r="I81" s="21" t="n">
        <x:v>2.954</x:v>
      </x:c>
      <x:c r="J81" s="20" t="n">
        <x:v>311.83</x:v>
      </x:c>
      <x:c r="K81" s="20" t="n">
        <x:v>345.21</x:v>
      </x:c>
      <x:c r="L81" s="20" t="n">
        <x:v>315.83</x:v>
      </x:c>
      <x:c r="M81" s="20" t="n">
        <x:v>189.57</x:v>
      </x:c>
      <x:c r="N81" t="n">
        <x:v>1</x:v>
      </x:c>
    </x:row>
    <x:row r="82">
      <x:c r="A82" s="19" t="str">
        <x:v>2025-07-14</x:v>
      </x:c>
      <x:c r="B82" s="20" t="n">
        <x:v>525.57</x:v>
      </x:c>
      <x:c r="C82" s="20" t="n">
        <x:v>504.16</x:v>
      </x:c>
      <x:c r="D82" s="20" t="n">
        <x:v>99.2</x:v>
      </x:c>
      <x:c r="E82" s="20" t="n">
        <x:v>179.05</x:v>
      </x:c>
      <x:c r="F82" s="20" t="n">
        <x:v>353.75</x:v>
      </x:c>
      <x:c r="G82" s="21" t="n">
        <x:v>18.566</x:v>
      </x:c>
      <x:c r="H82" s="21" t="n">
        <x:v>17.839</x:v>
      </x:c>
      <x:c r="I82" s="21" t="n">
        <x:v>2.939</x:v>
      </x:c>
      <x:c r="J82" s="20" t="n">
        <x:v>306.24</x:v>
      </x:c>
      <x:c r="K82" s="20" t="n">
        <x:v>341.92</x:v>
      </x:c>
      <x:c r="L82" s="20" t="n">
        <x:v>310.53</x:v>
      </x:c>
      <x:c r="M82" s="20" t="n">
        <x:v>181.05</x:v>
      </x:c>
      <x:c r="N82" t="n">
        <x:v>1</x:v>
      </x:c>
    </x:row>
    <x:row r="83">
      <x:c r="A83" s="19" t="str">
        <x:v>2025-07-21</x:v>
      </x:c>
      <x:c r="B83" s="20" t="n">
        <x:v>533.58</x:v>
      </x:c>
      <x:c r="C83" s="20" t="n">
        <x:v>505.32</x:v>
      </x:c>
      <x:c r="D83" s="20" t="n">
        <x:v>94.79</x:v>
      </x:c>
      <x:c r="E83" s="20" t="n">
        <x:v>182.81</x:v>
      </x:c>
      <x:c r="F83" s="20" t="n">
        <x:v>345.34</x:v>
      </x:c>
      <x:c r="G83" s="21" t="n">
        <x:v>18.84</x:v>
      </x:c>
      <x:c r="H83" s="21" t="n">
        <x:v>17.624</x:v>
      </x:c>
      <x:c r="I83" s="21" t="n">
        <x:v>2.971</x:v>
      </x:c>
      <x:c r="J83" s="20" t="n">
        <x:v>301.06</x:v>
      </x:c>
      <x:c r="K83" s="20" t="n">
        <x:v>335.37</x:v>
      </x:c>
      <x:c r="L83" s="20" t="n">
        <x:v>305.18</x:v>
      </x:c>
      <x:c r="M83" s="20" t="n">
        <x:v>194.4</x:v>
      </x:c>
      <x:c r="N83" t="n">
        <x:v>1</x:v>
      </x:c>
    </x:row>
    <x:row r="84">
      <x:c r="A84" s="19" t="str">
        <x:v>2025-07-28</x:v>
      </x:c>
      <x:c r="B84" s="20" t="n">
        <x:v>536.35</x:v>
      </x:c>
      <x:c r="C84" s="20" t="n">
        <x:v>499.19</x:v>
      </x:c>
      <x:c r="D84" s="20" t="n">
        <x:v>93.38</x:v>
      </x:c>
      <x:c r="E84" s="20" t="n">
        <x:v>195.45</x:v>
      </x:c>
      <x:c r="F84" s="20" t="n">
        <x:v>342.37</x:v>
      </x:c>
      <x:c r="G84" s="21" t="n">
        <x:v>18.719</x:v>
      </x:c>
      <x:c r="H84" s="21" t="n">
        <x:v>17.602</x:v>
      </x:c>
      <x:c r="I84" s="21" t="n">
        <x:v>2.96</x:v>
      </x:c>
      <x:c r="J84" s="20" t="n">
        <x:v>305.14</x:v>
      </x:c>
      <x:c r="K84" s="20" t="n">
        <x:v>333.05</x:v>
      </x:c>
      <x:c r="L84" s="20" t="n">
        <x:v>308.49</x:v>
      </x:c>
      <x:c r="M84" s="20" t="n">
        <x:v>193.86</x:v>
      </x:c>
      <x:c r="N84" t="n">
        <x:v>1</x:v>
      </x:c>
    </x:row>
    <x:row r="85">
      <x:c r="A85" s="19" t="str">
        <x:v>2025-08-04</x:v>
      </x:c>
      <x:c r="B85" s="20" t="n">
        <x:v>519.93</x:v>
      </x:c>
      <x:c r="C85" s="20" t="n">
        <x:v>488.74</x:v>
      </x:c>
      <x:c r="D85" s="20" t="n">
        <x:v>96.63</x:v>
      </x:c>
      <x:c r="E85" s="20" t="n">
        <x:v>174.96</x:v>
      </x:c>
      <x:c r="F85" s="20" t="n">
        <x:v>339.12</x:v>
      </x:c>
      <x:c r="G85" s="21" t="n">
        <x:v>18.261</x:v>
      </x:c>
      <x:c r="H85" s="21" t="n">
        <x:v>17.101</x:v>
      </x:c>
      <x:c r="I85" s="21" t="n">
        <x:v>3.001</x:v>
      </x:c>
      <x:c r="J85" s="20" t="n">
        <x:v>300.09</x:v>
      </x:c>
      <x:c r="K85" s="20" t="n">
        <x:v>330.51</x:v>
      </x:c>
      <x:c r="L85" s="20" t="n">
        <x:v>303.74</x:v>
      </x:c>
      <x:c r="M85" s="20" t="n">
        <x:v>182.19</x:v>
      </x:c>
      <x:c r="N85" t="n">
        <x:v>1</x:v>
      </x:c>
    </x:row>
    <x:row r="86">
      <x:c r="A86" s="19" t="str">
        <x:v>2025-08-11</x:v>
      </x:c>
      <x:c r="B86" s="20" t="n">
        <x:v>528.96</x:v>
      </x:c>
      <x:c r="C86" s="20" t="n">
        <x:v>491.44</x:v>
      </x:c>
      <x:c r="D86" s="20" t="n">
        <x:v>97.98</x:v>
      </x:c>
      <x:c r="E86" s="20" t="n">
        <x:v>172.25</x:v>
      </x:c>
      <x:c r="F86" s="20" t="n">
        <x:v>344.54</x:v>
      </x:c>
      <x:c r="G86" s="21" t="n">
        <x:v>18.707</x:v>
      </x:c>
      <x:c r="H86" s="21" t="n">
        <x:v>17.836</x:v>
      </x:c>
      <x:c r="I86" s="21" t="n">
        <x:v>3.003</x:v>
      </x:c>
      <x:c r="J86" s="20" t="n">
        <x:v>300.9</x:v>
      </x:c>
      <x:c r="K86" s="20" t="n">
        <x:v>334.74</x:v>
      </x:c>
      <x:c r="L86" s="20" t="n">
        <x:v>304.96</x:v>
      </x:c>
      <x:c r="M86" s="20" t="n">
        <x:v>190</x:v>
      </x:c>
      <x:c r="N86" t="n">
        <x:v>1</x:v>
      </x:c>
    </x:row>
    <x:row r="87">
      <x:c r="A87" s="19" t="str">
        <x:v>2025-08-18</x:v>
      </x:c>
      <x:c r="B87" s="20" t="n">
        <x:v>517.49</x:v>
      </x:c>
      <x:c r="C87" s="20" t="n">
        <x:v>481.31</x:v>
      </x:c>
      <x:c r="D87" s="20" t="n">
        <x:v>89.95</x:v>
      </x:c>
      <x:c r="E87" s="20" t="n">
        <x:v>185.29</x:v>
      </x:c>
      <x:c r="F87" s="20" t="n">
        <x:v>340.44</x:v>
      </x:c>
      <x:c r="G87" s="21" t="n">
        <x:v>18.185</x:v>
      </x:c>
      <x:c r="H87" s="21" t="n">
        <x:v>17.237</x:v>
      </x:c>
      <x:c r="I87" s="21" t="n">
        <x:v>3.044</x:v>
      </x:c>
      <x:c r="J87" s="20" t="n">
        <x:v>294.57</x:v>
      </x:c>
      <x:c r="K87" s="20" t="n">
        <x:v>331.54</x:v>
      </x:c>
      <x:c r="L87" s="20" t="n">
        <x:v>299.01</x:v>
      </x:c>
      <x:c r="M87" s="20" t="n">
        <x:v>184.49</x:v>
      </x:c>
      <x:c r="N87" t="n">
        <x:v>1</x:v>
      </x:c>
    </x:row>
    <x:row r="88">
      <x:c r="A88" s="19" t="str">
        <x:v>2025-08-25</x:v>
      </x:c>
      <x:c r="B88" s="20" t="n">
        <x:v>522.97</x:v>
      </x:c>
      <x:c r="C88" s="20" t="n">
        <x:v>478.89</x:v>
      </x:c>
      <x:c r="D88" s="20" t="n">
        <x:v>91.05</x:v>
      </x:c>
      <x:c r="E88" s="20" t="n">
        <x:v>183.39</x:v>
      </x:c>
      <x:c r="F88" s="20" t="n">
        <x:v>320.91</x:v>
      </x:c>
      <x:c r="G88" s="21" t="n">
        <x:v>18.734</x:v>
      </x:c>
      <x:c r="H88" s="21" t="n">
        <x:v>17.292</x:v>
      </x:c>
      <x:c r="I88" s="21" t="n">
        <x:v>2.984</x:v>
      </x:c>
      <x:c r="J88" s="20" t="n">
        <x:v>295.37</x:v>
      </x:c>
      <x:c r="K88" s="20" t="n">
        <x:v>316.31</x:v>
      </x:c>
      <x:c r="L88" s="20" t="n">
        <x:v>297.88</x:v>
      </x:c>
      <x:c r="M88" s="20" t="n">
        <x:v>191.09</x:v>
      </x:c>
      <x:c r="N88" t="n">
        <x:v>1</x:v>
      </x:c>
    </x:row>
    <x:row r="89">
      <x:c r="A89" s="19" t="str">
        <x:v>2025-09-01</x:v>
      </x:c>
      <x:c r="B89" s="20" t="n">
        <x:v>510.69</x:v>
      </x:c>
      <x:c r="C89" s="20" t="n">
        <x:v>484.21</x:v>
      </x:c>
      <x:c r="D89" s="20" t="n">
        <x:v>88.51</x:v>
      </x:c>
      <x:c r="E89" s="20" t="n">
        <x:v>182.29</x:v>
      </x:c>
      <x:c r="F89" s="20" t="n">
        <x:v>338.29</x:v>
      </x:c>
      <x:c r="G89" s="21" t="n">
        <x:v>18.458</x:v>
      </x:c>
      <x:c r="H89" s="21" t="n">
        <x:v>17.518</x:v>
      </x:c>
      <x:c r="I89" s="21" t="n">
        <x:v>2.987</x:v>
      </x:c>
      <x:c r="J89" s="20" t="n">
        <x:v>290.76</x:v>
      </x:c>
      <x:c r="K89" s="20" t="n">
        <x:v>329.87</x:v>
      </x:c>
      <x:c r="L89" s="20" t="n">
        <x:v>295.45</x:v>
      </x:c>
      <x:c r="M89" s="20" t="n">
        <x:v>181.24</x:v>
      </x:c>
      <x:c r="N89" t="n">
        <x:v>1</x:v>
      </x:c>
    </x:row>
    <x:row r="90">
      <x:c r="A90" s="19" t="str">
        <x:v>2025-09-08</x:v>
      </x:c>
      <x:c r="B90" s="20" t="n">
        <x:v>521.22</x:v>
      </x:c>
      <x:c r="C90" s="20" t="n">
        <x:v>481.53</x:v>
      </x:c>
      <x:c r="D90" s="20" t="n">
        <x:v>87.18</x:v>
      </x:c>
      <x:c r="E90" s="20" t="n">
        <x:v>181.7</x:v>
      </x:c>
      <x:c r="F90" s="20" t="n">
        <x:v>331.63</x:v>
      </x:c>
      <x:c r="G90" s="21" t="n">
        <x:v>17.567</x:v>
      </x:c>
      <x:c r="H90" s="21" t="n">
        <x:v>17.106</x:v>
      </x:c>
      <x:c r="I90" s="21" t="n">
        <x:v>3.009</x:v>
      </x:c>
      <x:c r="J90" s="20" t="n">
        <x:v>288.34</x:v>
      </x:c>
      <x:c r="K90" s="20" t="n">
        <x:v>324.67</x:v>
      </x:c>
      <x:c r="L90" s="20" t="n">
        <x:v>292.7</x:v>
      </x:c>
      <x:c r="M90" s="20" t="n">
        <x:v>194.52</x:v>
      </x:c>
      <x:c r="N90" t="n">
        <x:v>1</x:v>
      </x:c>
    </x:row>
    <x:row r="91">
      <x:c r="A91" s="19" t="str">
        <x:v>2025-09-15</x:v>
      </x:c>
      <x:c r="B91" s="20" t="n">
        <x:v>511.9</x:v>
      </x:c>
      <x:c r="C91" s="20" t="n">
        <x:v>482.46</x:v>
      </x:c>
      <x:c r="D91" s="20" t="n">
        <x:v>87.15</x:v>
      </x:c>
      <x:c r="E91" s="20" t="n">
        <x:v>191.58</x:v>
      </x:c>
      <x:c r="F91" s="20" t="n">
        <x:v>332.59</x:v>
      </x:c>
      <x:c r="G91" s="21" t="n">
        <x:v>18.49</x:v>
      </x:c>
      <x:c r="H91" s="21" t="n">
        <x:v>16.799</x:v>
      </x:c>
      <x:c r="I91" s="21" t="n">
        <x:v>3.047</x:v>
      </x:c>
      <x:c r="J91" s="20" t="n">
        <x:v>293.23</x:v>
      </x:c>
      <x:c r="K91" s="20" t="n">
        <x:v>325.42</x:v>
      </x:c>
      <x:c r="L91" s="20" t="n">
        <x:v>297.09</x:v>
      </x:c>
      <x:c r="M91" s="20" t="n">
        <x:v>180.81</x:v>
      </x:c>
      <x:c r="N91" t="n">
        <x:v>1</x:v>
      </x:c>
    </x:row>
    <x:row r="92">
      <x:c r="A92" s="19" t="str">
        <x:v>2025-09-22</x:v>
      </x:c>
      <x:c r="B92" s="20" t="n">
        <x:v>502.98</x:v>
      </x:c>
      <x:c r="C92" s="20" t="n">
        <x:v>471.4</x:v>
      </x:c>
      <x:c r="D92" s="20" t="n">
        <x:v>85.22</x:v>
      </x:c>
      <x:c r="E92" s="20" t="n">
        <x:v>195.81</x:v>
      </x:c>
      <x:c r="F92" s="20" t="n">
        <x:v>319.6</x:v>
      </x:c>
      <x:c r="G92" s="21" t="n">
        <x:v>18.015</x:v>
      </x:c>
      <x:c r="H92" s="21" t="n">
        <x:v>17.17</x:v>
      </x:c>
      <x:c r="I92" s="21" t="n">
        <x:v>3.089</x:v>
      </x:c>
      <x:c r="J92" s="20" t="n">
        <x:v>292.25</x:v>
      </x:c>
      <x:c r="K92" s="20" t="n">
        <x:v>315.29</x:v>
      </x:c>
      <x:c r="L92" s="20" t="n">
        <x:v>295.02</x:v>
      </x:c>
      <x:c r="M92" s="20" t="n">
        <x:v>173.96</x:v>
      </x:c>
      <x:c r="N92" t="n">
        <x:v>1</x:v>
      </x:c>
    </x:row>
    <x:row r="93">
      <x:c r="A93" s="19" t="str">
        <x:v>2025-09-29</x:v>
      </x:c>
      <x:c r="B93" s="20" t="n">
        <x:v>512.89</x:v>
      </x:c>
      <x:c r="C93" s="20" t="n">
        <x:v>460.23</x:v>
      </x:c>
      <x:c r="D93" s="20" t="n">
        <x:v>87.12</x:v>
      </x:c>
      <x:c r="E93" s="20" t="n">
        <x:v>190.86</x:v>
      </x:c>
      <x:c r="F93" s="20" t="n">
        <x:v>324.26</x:v>
      </x:c>
      <x:c r="G93" s="21" t="n">
        <x:v>17.886</x:v>
      </x:c>
      <x:c r="H93" s="21" t="n">
        <x:v>17.077</x:v>
      </x:c>
      <x:c r="I93" s="21" t="n">
        <x:v>2.999</x:v>
      </x:c>
      <x:c r="J93" s="20" t="n">
        <x:v>292.82</x:v>
      </x:c>
      <x:c r="K93" s="20" t="n">
        <x:v>318.93</x:v>
      </x:c>
      <x:c r="L93" s="20" t="n">
        <x:v>295.96</x:v>
      </x:c>
      <x:c r="M93" s="20" t="n">
        <x:v>182.93</x:v>
      </x:c>
      <x:c r="N93" t="n">
        <x:v>1</x:v>
      </x:c>
    </x:row>
    <x:row r="94">
      <x:c r="A94" s="19" t="str">
        <x:v>2025-10-06</x:v>
      </x:c>
      <x:c r="B94" s="20" t="n">
        <x:v>529.11</x:v>
      </x:c>
      <x:c r="C94" s="20" t="n">
        <x:v>465.55</x:v>
      </x:c>
      <x:c r="D94" s="20" t="n">
        <x:v>82.85</x:v>
      </x:c>
      <x:c r="E94" s="20" t="n">
        <x:v>207.63</x:v>
      </x:c>
      <x:c r="F94" s="20" t="n">
        <x:v>340.57</x:v>
      </x:c>
      <x:c r="G94" s="21" t="n">
        <x:v>17.422</x:v>
      </x:c>
      <x:c r="H94" s="21" t="n">
        <x:v>17.171</x:v>
      </x:c>
      <x:c r="I94" s="21" t="n">
        <x:v>2.988</x:v>
      </x:c>
      <x:c r="J94" s="20" t="n">
        <x:v>294.38</x:v>
      </x:c>
      <x:c r="K94" s="20" t="n">
        <x:v>331.65</x:v>
      </x:c>
      <x:c r="L94" s="20" t="n">
        <x:v>298.85</x:v>
      </x:c>
      <x:c r="M94" s="20" t="n">
        <x:v>196.26</x:v>
      </x:c>
      <x:c r="N94" t="n">
        <x:v>1</x:v>
      </x:c>
    </x:row>
    <x:row r="95">
      <x:c r="A95" s="19" t="str">
        <x:v>2025-10-13</x:v>
      </x:c>
      <x:c r="B95" s="20" t="n">
        <x:v>514.29</x:v>
      </x:c>
      <x:c r="C95" s="20" t="n">
        <x:v>455.8</x:v>
      </x:c>
      <x:c r="D95" s="20" t="n">
        <x:v>81.88</x:v>
      </x:c>
      <x:c r="E95" s="20" t="n">
        <x:v>209.69</x:v>
      </x:c>
      <x:c r="F95" s="20" t="n">
        <x:v>332.68</x:v>
      </x:c>
      <x:c r="G95" s="21" t="n">
        <x:v>17.831</x:v>
      </x:c>
      <x:c r="H95" s="21" t="n">
        <x:v>17.219</x:v>
      </x:c>
      <x:c r="I95" s="21" t="n">
        <x:v>3.03</x:v>
      </x:c>
      <x:c r="J95" s="20" t="n">
        <x:v>293.86</x:v>
      </x:c>
      <x:c r="K95" s="20" t="n">
        <x:v>325.49</x:v>
      </x:c>
      <x:c r="L95" s="20" t="n">
        <x:v>297.65</x:v>
      </x:c>
      <x:c r="M95" s="20" t="n">
        <x:v>182.64</x:v>
      </x:c>
      <x:c r="N95" t="n">
        <x:v>1</x:v>
      </x:c>
    </x:row>
    <x:row r="96">
      <x:c r="A96" s="19" t="str">
        <x:v>2025-10-20</x:v>
      </x:c>
      <x:c r="B96" s="20" t="n">
        <x:v>508.01</x:v>
      </x:c>
      <x:c r="C96" s="20" t="n">
        <x:v>464.88</x:v>
      </x:c>
      <x:c r="D96" s="20" t="n">
        <x:v>85.62</x:v>
      </x:c>
      <x:c r="E96" s="20" t="n">
        <x:v>196.94</x:v>
      </x:c>
      <x:c r="F96" s="20" t="n">
        <x:v>344.63</x:v>
      </x:c>
      <x:c r="G96" s="21" t="n">
        <x:v>18.376</x:v>
      </x:c>
      <x:c r="H96" s="21" t="n">
        <x:v>16.819</x:v>
      </x:c>
      <x:c r="I96" s="21" t="n">
        <x:v>3.155</x:v>
      </x:c>
      <x:c r="J96" s="20" t="n">
        <x:v>293.47</x:v>
      </x:c>
      <x:c r="K96" s="20" t="n">
        <x:v>334.81</x:v>
      </x:c>
      <x:c r="L96" s="20" t="n">
        <x:v>298.43</x:v>
      </x:c>
      <x:c r="M96" s="20" t="n">
        <x:v>175.59</x:v>
      </x:c>
      <x:c r="N96" t="n">
        <x:v>1</x:v>
      </x:c>
    </x:row>
    <x:row r="97">
      <x:c r="A97" s="19" t="str">
        <x:v>2025-10-27</x:v>
      </x:c>
      <x:c r="B97" s="20" t="n">
        <x:v>512.27</x:v>
      </x:c>
      <x:c r="C97" s="20" t="n">
        <x:v>472.59</x:v>
      </x:c>
      <x:c r="D97" s="20" t="n">
        <x:v>85.52</x:v>
      </x:c>
      <x:c r="E97" s="20" t="n">
        <x:v>223.09</x:v>
      </x:c>
      <x:c r="F97" s="20" t="n">
        <x:v>334</x:v>
      </x:c>
      <x:c r="G97" s="21" t="n">
        <x:v>18.343</x:v>
      </x:c>
      <x:c r="H97" s="21" t="n">
        <x:v>17.583</x:v>
      </x:c>
      <x:c r="I97" s="21" t="n">
        <x:v>3.131</x:v>
      </x:c>
      <x:c r="J97" s="20" t="n">
        <x:v>306.37</x:v>
      </x:c>
      <x:c r="K97" s="20" t="n">
        <x:v>326.52</x:v>
      </x:c>
      <x:c r="L97" s="20" t="n">
        <x:v>308.79</x:v>
      </x:c>
      <x:c r="M97" s="20" t="n">
        <x:v>169.48</x:v>
      </x:c>
      <x:c r="N97" t="n">
        <x:v>1</x:v>
      </x:c>
    </x:row>
    <x:row r="98">
      <x:c r="A98" s="19" t="str">
        <x:v>2025-11-03</x:v>
      </x:c>
      <x:c r="B98" s="20" t="n">
        <x:v>520.33</x:v>
      </x:c>
      <x:c r="C98" s="20" t="n">
        <x:v>462.45</x:v>
      </x:c>
      <x:c r="D98" s="20" t="n">
        <x:v>89.91</x:v>
      </x:c>
      <x:c r="E98" s="20" t="n">
        <x:v>213.2</x:v>
      </x:c>
      <x:c r="F98" s="20" t="n">
        <x:v>343.83</x:v>
      </x:c>
      <x:c r="G98" s="21" t="n">
        <x:v>18.192</x:v>
      </x:c>
      <x:c r="H98" s="21" t="n">
        <x:v>17.117</x:v>
      </x:c>
      <x:c r="I98" s="21" t="n">
        <x:v>3.021</x:v>
      </x:c>
      <x:c r="J98" s="20" t="n">
        <x:v>308.45</x:v>
      </x:c>
      <x:c r="K98" s="20" t="n">
        <x:v>334.19</x:v>
      </x:c>
      <x:c r="L98" s="20" t="n">
        <x:v>311.53</x:v>
      </x:c>
      <x:c r="M98" s="20" t="n">
        <x:v>174.8</x:v>
      </x:c>
      <x:c r="N98" t="n">
        <x:v>1</x:v>
      </x:c>
    </x:row>
    <x:row r="99">
      <x:c r="A99" s="19" t="str">
        <x:v>2025-11-10</x:v>
      </x:c>
      <x:c r="B99" s="20" t="n">
        <x:v>516.24</x:v>
      </x:c>
      <x:c r="C99" s="20" t="n">
        <x:v>450.31</x:v>
      </x:c>
      <x:c r="D99" s="20" t="n">
        <x:v>85.1</x:v>
      </x:c>
      <x:c r="E99" s="20" t="n">
        <x:v>234.44</x:v>
      </x:c>
      <x:c r="F99" s="20" t="n">
        <x:v>340.22</x:v>
      </x:c>
      <x:c r="G99" s="21" t="n">
        <x:v>18.034</x:v>
      </x:c>
      <x:c r="H99" s="21" t="n">
        <x:v>17.115</x:v>
      </x:c>
      <x:c r="I99" s="21" t="n">
        <x:v>3.104</x:v>
      </x:c>
      <x:c r="J99" s="20" t="n">
        <x:v>311.39</x:v>
      </x:c>
      <x:c r="K99" s="20" t="n">
        <x:v>331.37</x:v>
      </x:c>
      <x:c r="L99" s="20" t="n">
        <x:v>313.79</x:v>
      </x:c>
      <x:c r="M99" s="20" t="n">
        <x:v>168.45</x:v>
      </x:c>
      <x:c r="N99" t="n">
        <x:v>1</x:v>
      </x:c>
    </x:row>
    <x:row r="100">
      <x:c r="A100" s="19" t="str">
        <x:v>2025-11-17</x:v>
      </x:c>
      <x:c r="B100" s="20" t="n">
        <x:v>519.27</x:v>
      </x:c>
      <x:c r="C100" s="20" t="n">
        <x:v>440.35</x:v>
      </x:c>
      <x:c r="D100" s="20" t="n">
        <x:v>87.44</x:v>
      </x:c>
      <x:c r="E100" s="20" t="n">
        <x:v>229.42</x:v>
      </x:c>
      <x:c r="F100" s="20" t="n">
        <x:v>333.6</x:v>
      </x:c>
      <x:c r="G100" s="21" t="n">
        <x:v>17.939</x:v>
      </x:c>
      <x:c r="H100" s="21" t="n">
        <x:v>17.254</x:v>
      </x:c>
      <x:c r="I100" s="21" t="n">
        <x:v>3.127</x:v>
      </x:c>
      <x:c r="J100" s="20" t="n">
        <x:v>312.62</x:v>
      </x:c>
      <x:c r="K100" s="20" t="n">
        <x:v>326.2</x:v>
      </x:c>
      <x:c r="L100" s="20" t="n">
        <x:v>314.25</x:v>
      </x:c>
      <x:c r="M100" s="20" t="n">
        <x:v>171.03</x:v>
      </x:c>
      <x:c r="N100" t="n">
        <x:v>1</x:v>
      </x:c>
    </x:row>
    <x:row r="101">
      <x:c r="A101" s="19" t="str">
        <x:v>2025-11-24</x:v>
      </x:c>
      <x:c r="B101" s="20" t="n">
        <x:v>523</x:v>
      </x:c>
      <x:c r="C101" s="20" t="n">
        <x:v>463.7</x:v>
      </x:c>
      <x:c r="D101" s="20" t="n">
        <x:v>93.17</x:v>
      </x:c>
      <x:c r="E101" s="20" t="n">
        <x:v>235.64</x:v>
      </x:c>
      <x:c r="F101" s="20" t="n">
        <x:v>339.93</x:v>
      </x:c>
      <x:c r="G101" s="21" t="n">
        <x:v>18.653</x:v>
      </x:c>
      <x:c r="H101" s="21" t="n">
        <x:v>17.602</x:v>
      </x:c>
      <x:c r="I101" s="21" t="n">
        <x:v>3.054</x:v>
      </x:c>
      <x:c r="J101" s="20" t="n">
        <x:v>324.9</x:v>
      </x:c>
      <x:c r="K101" s="20" t="n">
        <x:v>331.14</x:v>
      </x:c>
      <x:c r="L101" s="20" t="n">
        <x:v>325.65</x:v>
      </x:c>
      <x:c r="M101" s="20" t="n">
        <x:v>163.36</x:v>
      </x:c>
      <x:c r="N101" t="n">
        <x:v>1</x:v>
      </x:c>
    </x:row>
    <x:row r="102">
      <x:c r="A102" s="19" t="str">
        <x:v>2025-12-01</x:v>
      </x:c>
      <x:c r="B102" s="20" t="n">
        <x:v>518.97</x:v>
      </x:c>
      <x:c r="C102" s="20" t="n">
        <x:v>471.35</x:v>
      </x:c>
      <x:c r="D102" s="20" t="n">
        <x:v>92.89</x:v>
      </x:c>
      <x:c r="E102" s="20" t="n">
        <x:v>236.39</x:v>
      </x:c>
      <x:c r="F102" s="20" t="n">
        <x:v>343.21</x:v>
      </x:c>
      <x:c r="G102" s="21" t="n">
        <x:v>18.852</x:v>
      </x:c>
      <x:c r="H102" s="21" t="n">
        <x:v>17.267</x:v>
      </x:c>
      <x:c r="I102" s="21" t="n">
        <x:v>3.149</x:v>
      </x:c>
      <x:c r="J102" s="20" t="n">
        <x:v>324.83</x:v>
      </x:c>
      <x:c r="K102" s="20" t="n">
        <x:v>333.7</x:v>
      </x:c>
      <x:c r="L102" s="20" t="n">
        <x:v>325.89</x:v>
      </x:c>
      <x:c r="M102" s="20" t="n">
        <x:v>159.08</x:v>
      </x:c>
      <x:c r="N102" t="n">
        <x:v>1</x:v>
      </x:c>
    </x:row>
    <x:row r="103">
      <x:c r="A103" s="19" t="str">
        <x:v>2025-12-08</x:v>
      </x:c>
      <x:c r="B103" s="20" t="n">
        <x:v>529.63</x:v>
      </x:c>
      <x:c r="C103" s="20" t="n">
        <x:v>473.91</x:v>
      </x:c>
      <x:c r="D103" s="20" t="n">
        <x:v>89.53</x:v>
      </x:c>
      <x:c r="E103" s="20" t="n">
        <x:v>232.74</x:v>
      </x:c>
      <x:c r="F103" s="20" t="n">
        <x:v>332.22</x:v>
      </x:c>
      <x:c r="G103" s="21" t="n">
        <x:v>18.866</x:v>
      </x:c>
      <x:c r="H103" s="21" t="n">
        <x:v>17.534</x:v>
      </x:c>
      <x:c r="I103" s="21" t="n">
        <x:v>3.205</x:v>
      </x:c>
      <x:c r="J103" s="20" t="n">
        <x:v>317.61</x:v>
      </x:c>
      <x:c r="K103" s="20" t="n">
        <x:v>325.13</x:v>
      </x:c>
      <x:c r="L103" s="20" t="n">
        <x:v>318.52</x:v>
      </x:c>
      <x:c r="M103" s="20" t="n">
        <x:v>177.11</x:v>
      </x:c>
      <x:c r="N103" t="n">
        <x:v>1</x:v>
      </x:c>
    </x:row>
    <x:row r="104">
      <x:c r="A104" s="19" t="str">
        <x:v>2025-12-15</x:v>
      </x:c>
      <x:c r="B104" s="20" t="n">
        <x:v>528.75</x:v>
      </x:c>
      <x:c r="C104" s="20" t="n">
        <x:v>484.29</x:v>
      </x:c>
      <x:c r="D104" s="20" t="n">
        <x:v>89.02</x:v>
      </x:c>
      <x:c r="E104" s="20" t="n">
        <x:v>229.24</x:v>
      </x:c>
      <x:c r="F104" s="20" t="n">
        <x:v>339</x:v>
      </x:c>
      <x:c r="G104" s="21" t="n">
        <x:v>18.384</x:v>
      </x:c>
      <x:c r="H104" s="21" t="n">
        <x:v>17.722</x:v>
      </x:c>
      <x:c r="I104" s="21" t="n">
        <x:v>3.221</x:v>
      </x:c>
      <x:c r="J104" s="20" t="n">
        <x:v>315.05</x:v>
      </x:c>
      <x:c r="K104" s="20" t="n">
        <x:v>330.42</x:v>
      </x:c>
      <x:c r="L104" s="20" t="n">
        <x:v>316.89</x:v>
      </x:c>
      <x:c r="M104" s="20" t="n">
        <x:v>177.86</x:v>
      </x:c>
      <x:c r="N104" t="n">
        <x:v>1</x:v>
      </x:c>
    </x:row>
    <x:row r="105">
      <x:c r="A105" s="19" t="str">
        <x:v>2025-12-22</x:v>
      </x:c>
      <x:c r="B105" s="20" t="n">
        <x:v>532.79</x:v>
      </x:c>
      <x:c r="C105" s="20" t="n">
        <x:v>475.74</x:v>
      </x:c>
      <x:c r="D105" s="20" t="n">
        <x:v>95.23</x:v>
      </x:c>
      <x:c r="E105" s="20" t="n">
        <x:v>242.26</x:v>
      </x:c>
      <x:c r="F105" s="20" t="n">
        <x:v>351.57</x:v>
      </x:c>
      <x:c r="G105" s="21" t="n">
        <x:v>18.811</x:v>
      </x:c>
      <x:c r="H105" s="21" t="n">
        <x:v>17.83</x:v>
      </x:c>
      <x:c r="I105" s="21" t="n">
        <x:v>3.234</x:v>
      </x:c>
      <x:c r="J105" s="20" t="n">
        <x:v>331.49</x:v>
      </x:c>
      <x:c r="K105" s="20" t="n">
        <x:v>340.22</x:v>
      </x:c>
      <x:c r="L105" s="20" t="n">
        <x:v>332.54</x:v>
      </x:c>
      <x:c r="M105" s="20" t="n">
        <x:v>166.25</x:v>
      </x:c>
      <x:c r="N10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395edb925694f5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9.88999938964844" hidden="0" customWidth="1"/>
    <x:col min="2" max="2" width="4.110000133514404" hidden="0" customWidth="1"/>
    <x:col min="3" max="3" width="9.220000267028809" hidden="0" customWidth="1"/>
    <x:col min="4" max="4" width="8.329999923706055" hidden="0" customWidth="1"/>
    <x:col min="5" max="5" width="9.109999656677246" hidden="0" customWidth="1"/>
    <x:col min="6" max="6" width="11.109999656677246" hidden="0" customWidth="1"/>
    <x:col min="7" max="7" width="10.670000076293945" hidden="0" customWidth="1"/>
    <x:col min="8" max="8" width="8.220000267028809" hidden="0" customWidth="1"/>
  </x:cols>
  <x:sheetData>
    <x:row r="1" ht="24" hidden="0" customHeight="1">
      <x:c r="A1" s="2" t="str">
        <x:v>2025–2030 Scenario Model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Demand/supply balance → price response; cost inflation/EAF pathway → cash cost; margin = price − cost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7" t="str">
        <x:v>Scenario</x:v>
      </x:c>
      <x:c r="B4" s="14" t="str">
        <x:v>Year</x:v>
      </x:c>
      <x:c r="C4" s="14" t="str">
        <x:v>Demand Mt</x:v>
      </x:c>
      <x:c r="D4" s="14" t="str">
        <x:v>Supply Mt</x:v>
      </x:c>
      <x:c r="E4" s="14" t="str">
        <x:v>Balance Mt</x:v>
      </x:c>
      <x:c r="F4" s="14" t="str">
        <x:v>Steel price $/t</x:v>
      </x:c>
      <x:c r="G4" s="14" t="str">
        <x:v>Cash cost $/t</x:v>
      </x:c>
      <x:c r="H4" s="8" t="str">
        <x:v>Margin $/t</x:v>
      </x:c>
    </x:row>
    <x:row r="5" ht="15" hidden="0" customHeight="1">
      <x:c r="A5" t="str">
        <x:v>Downside</x:v>
      </x:c>
      <x:c r="B5" t="n">
        <x:v>2025</x:v>
      </x:c>
      <x:c r="C5" s="9" t="n">
        <x:f>980*(1+INDEX('Assumptions'!$B$5:$B$7,MATCH(A5,'Assumptions'!$A$5:$A$7,0)))^(B5-2025)</x:f>
        <x:v>980</x:v>
      </x:c>
      <x:c r="D5" s="9" t="n">
        <x:f>995*(1+INDEX('Assumptions'!$C$5:$C$7,MATCH(A5,'Assumptions'!$A$5:$A$7,0)))^(B5-2025)</x:f>
        <x:v>995</x:v>
      </x:c>
      <x:c r="E5" s="9" t="n">
        <x:f>D5-C5</x:f>
        <x:v>15</x:v>
      </x:c>
      <x:c r="F5" s="9" t="n">
        <x:f>520*(1+INDEX('Assumptions'!$E$5:$E$7,MATCH(A5,'Assumptions'!$A$5:$A$7,0)))^(B5-2025)*(1+INDEX('Assumptions'!$D$5:$D$7,MATCH(A5,'Assumptions'!$A$5:$A$7,0))*(C5-D5)/D5)</x:f>
        <x:v>515.6884422110553</x:v>
      </x:c>
      <x:c r="G5" s="9" t="n">
        <x:f>455*(1+INDEX('Assumptions'!$E$5:$E$7,MATCH(A5,'Assumptions'!$A$5:$A$7,0)))^(B5-2025)*(1-0.025*(B5-2025)*(INDEX('Assumptions'!$F$5:$F$7,MATCH(A5,'Assumptions'!$A$5:$A$7,0))-15%))</x:f>
        <x:v>455</x:v>
      </x:c>
      <x:c r="H5" s="9" t="n">
        <x:f>F5-G5</x:f>
        <x:v>60.6884422110553</x:v>
      </x:c>
    </x:row>
    <x:row r="6" ht="15" hidden="0" customHeight="1">
      <x:c r="A6" t="str">
        <x:v>Downside</x:v>
      </x:c>
      <x:c r="B6" t="n">
        <x:v>2026</x:v>
      </x:c>
      <x:c r="C6" s="9" t="n">
        <x:f>980*(1+INDEX('Assumptions'!$B$5:$B$7,MATCH(A6,'Assumptions'!$A$5:$A$7,0)))^(B6-2025)</x:f>
        <x:v>955.5</x:v>
      </x:c>
      <x:c r="D6" s="9" t="n">
        <x:f>995*(1+INDEX('Assumptions'!$C$5:$C$7,MATCH(A6,'Assumptions'!$A$5:$A$7,0)))^(B6-2025)</x:f>
        <x:v>983.06</x:v>
      </x:c>
      <x:c r="E6" s="9" t="n">
        <x:f>D6-C6</x:f>
        <x:v>27.559999999999945</x:v>
      </x:c>
      <x:c r="F6" s="9" t="n">
        <x:f>520*(1+INDEX('Assumptions'!$E$5:$E$7,MATCH(A6,'Assumptions'!$A$5:$A$7,0)))^(B6-2025)*(1+INDEX('Assumptions'!$D$5:$D$7,MATCH(A6,'Assumptions'!$A$5:$A$7,0))*(C6-D6)/D6)</x:f>
        <x:v>517.1018354932559</x:v>
      </x:c>
      <x:c r="G6" s="9" t="n">
        <x:f>455*(1+INDEX('Assumptions'!$E$5:$E$7,MATCH(A6,'Assumptions'!$A$5:$A$7,0)))^(B6-2025)*(1-0.025*(B6-2025)*(INDEX('Assumptions'!$F$5:$F$7,MATCH(A6,'Assumptions'!$A$5:$A$7,0))-15%))</x:f>
        <x:v>458.9755625</x:v>
      </x:c>
      <x:c r="H6" s="9" t="n">
        <x:f>F6-G6</x:f>
        <x:v>58.12627299325584</x:v>
      </x:c>
    </x:row>
    <x:row r="7" ht="15" hidden="0" customHeight="1">
      <x:c r="A7" t="str">
        <x:v>Downside</x:v>
      </x:c>
      <x:c r="B7" t="n">
        <x:v>2027</x:v>
      </x:c>
      <x:c r="C7" s="9" t="n">
        <x:f>980*(1+INDEX('Assumptions'!$B$5:$B$7,MATCH(A7,'Assumptions'!$A$5:$A$7,0)))^(B7-2025)</x:f>
        <x:v>931.6125</x:v>
      </x:c>
      <x:c r="D7" s="9" t="n">
        <x:f>995*(1+INDEX('Assumptions'!$C$5:$C$7,MATCH(A7,'Assumptions'!$A$5:$A$7,0)))^(B7-2025)</x:f>
        <x:v>971.26328</x:v>
      </x:c>
      <x:c r="E7" s="9" t="n">
        <x:f>D7-C7</x:f>
        <x:v>39.650780000000054</x:v>
      </x:c>
      <x:c r="F7" s="9" t="n">
        <x:f>520*(1+INDEX('Assumptions'!$E$5:$E$7,MATCH(A7,'Assumptions'!$A$5:$A$7,0)))^(B7-2025)*(1+INDEX('Assumptions'!$D$5:$D$7,MATCH(A7,'Assumptions'!$A$5:$A$7,0))*(C7-D7)/D7)</x:f>
        <x:v>518.54167682387</x:v>
      </x:c>
      <x:c r="G7" s="9" t="n">
        <x:f>455*(1+INDEX('Assumptions'!$E$5:$E$7,MATCH(A7,'Assumptions'!$A$5:$A$7,0)))^(B7-2025)*(1-0.025*(B7-2025)*(INDEX('Assumptions'!$F$5:$F$7,MATCH(A7,'Assumptions'!$A$5:$A$7,0))-15%))</x:f>
        <x:v>462.98513625000004</x:v>
      </x:c>
      <x:c r="H7" s="9" t="n">
        <x:f>F7-G7</x:f>
        <x:v>55.556540573869995</x:v>
      </x:c>
    </x:row>
    <x:row r="8" ht="15" hidden="0" customHeight="1">
      <x:c r="A8" t="str">
        <x:v>Downside</x:v>
      </x:c>
      <x:c r="B8" t="n">
        <x:v>2028</x:v>
      </x:c>
      <x:c r="C8" s="9" t="n">
        <x:f>980*(1+INDEX('Assumptions'!$B$5:$B$7,MATCH(A8,'Assumptions'!$A$5:$A$7,0)))^(B8-2025)</x:f>
        <x:v>908.3221874999999</x:v>
      </x:c>
      <x:c r="D8" s="9" t="n">
        <x:f>995*(1+INDEX('Assumptions'!$C$5:$C$7,MATCH(A8,'Assumptions'!$A$5:$A$7,0)))^(B8-2025)</x:f>
        <x:v>959.6081206399999</x:v>
      </x:c>
      <x:c r="E8" s="9" t="n">
        <x:f>D8-C8</x:f>
        <x:v>51.28593314</x:v>
      </x:c>
      <x:c r="F8" s="9" t="n">
        <x:f>520*(1+INDEX('Assumptions'!$E$5:$E$7,MATCH(A8,'Assumptions'!$A$5:$A$7,0)))^(B8-2025)*(1+INDEX('Assumptions'!$D$5:$D$7,MATCH(A8,'Assumptions'!$A$5:$A$7,0))*(C8-D8)/D8)</x:f>
        <x:v>520.0081901764231</x:v>
      </x:c>
      <x:c r="G8" s="9" t="n">
        <x:f>455*(1+INDEX('Assumptions'!$E$5:$E$7,MATCH(A8,'Assumptions'!$A$5:$A$7,0)))^(B8-2025)*(1-0.025*(B8-2025)*(INDEX('Assumptions'!$F$5:$F$7,MATCH(A8,'Assumptions'!$A$5:$A$7,0))-15%))</x:f>
        <x:v>467.02900391875</x:v>
      </x:c>
      <x:c r="H8" s="9" t="n">
        <x:f>F8-G8</x:f>
        <x:v>52.97918625767312</x:v>
      </x:c>
    </x:row>
    <x:row r="9" ht="15" hidden="0" customHeight="1">
      <x:c r="A9" t="str">
        <x:v>Downside</x:v>
      </x:c>
      <x:c r="B9" t="n">
        <x:v>2029</x:v>
      </x:c>
      <x:c r="C9" s="9" t="n">
        <x:f>980*(1+INDEX('Assumptions'!$B$5:$B$7,MATCH(A9,'Assumptions'!$A$5:$A$7,0)))^(B9-2025)</x:f>
        <x:v>885.6141328124999</x:v>
      </x:c>
      <x:c r="D9" s="9" t="n">
        <x:f>995*(1+INDEX('Assumptions'!$C$5:$C$7,MATCH(A9,'Assumptions'!$A$5:$A$7,0)))^(B9-2025)</x:f>
        <x:v>948.0928231923199</x:v>
      </x:c>
      <x:c r="E9" s="9" t="n">
        <x:f>D9-C9</x:f>
        <x:v>62.47869037982002</x:v>
      </x:c>
      <x:c r="F9" s="9" t="n">
        <x:f>520*(1+INDEX('Assumptions'!$E$5:$E$7,MATCH(A9,'Assumptions'!$A$5:$A$7,0)))^(B9-2025)*(1+INDEX('Assumptions'!$D$5:$D$7,MATCH(A9,'Assumptions'!$A$5:$A$7,0))*(C9-D9)/D9)</x:f>
        <x:v>521.5016018974217</x:v>
      </x:c>
      <x:c r="G9" s="9" t="n">
        <x:f>455*(1+INDEX('Assumptions'!$E$5:$E$7,MATCH(A9,'Assumptions'!$A$5:$A$7,0)))^(B9-2025)*(1-0.025*(B9-2025)*(INDEX('Assumptions'!$F$5:$F$7,MATCH(A9,'Assumptions'!$A$5:$A$7,0))-15%))</x:f>
        <x:v>471.10745042725</x:v>
      </x:c>
      <x:c r="H9" s="9" t="n">
        <x:f>F9-G9</x:f>
        <x:v>50.394151470171664</x:v>
      </x:c>
    </x:row>
    <x:row r="10" ht="15" hidden="0" customHeight="1">
      <x:c r="A10" t="str">
        <x:v>Downside</x:v>
      </x:c>
      <x:c r="B10" t="n">
        <x:v>2030</x:v>
      </x:c>
      <x:c r="C10" s="9" t="n">
        <x:f>980*(1+INDEX('Assumptions'!$B$5:$B$7,MATCH(A10,'Assumptions'!$A$5:$A$7,0)))^(B10-2025)</x:f>
        <x:v>863.4737794921874</x:v>
      </x:c>
      <x:c r="D10" s="9" t="n">
        <x:f>995*(1+INDEX('Assumptions'!$C$5:$C$7,MATCH(A10,'Assumptions'!$A$5:$A$7,0)))^(B10-2025)</x:f>
        <x:v>936.7157093140121</x:v>
      </x:c>
      <x:c r="E10" s="9" t="n">
        <x:f>D10-C10</x:f>
        <x:v>73.24192982182467</x:v>
      </x:c>
      <x:c r="F10" s="9" t="n">
        <x:f>520*(1+INDEX('Assumptions'!$E$5:$E$7,MATCH(A10,'Assumptions'!$A$5:$A$7,0)))^(B10-2025)*(1+INDEX('Assumptions'!$D$5:$D$7,MATCH(A10,'Assumptions'!$A$5:$A$7,0))*(C10-D10)/D10)</x:f>
        <x:v>523.0221407296461</x:v>
      </x:c>
      <x:c r="G10" s="9" t="n">
        <x:f>455*(1+INDEX('Assumptions'!$E$5:$E$7,MATCH(A10,'Assumptions'!$A$5:$A$7,0)))^(B10-2025)*(1-0.025*(B10-2025)*(INDEX('Assumptions'!$F$5:$F$7,MATCH(A10,'Assumptions'!$A$5:$A$7,0))-15%))</x:f>
        <x:v>475.22076296552825</x:v>
      </x:c>
      <x:c r="H10" s="9" t="n">
        <x:f>F10-G10</x:f>
        <x:v>47.80137776411789</x:v>
      </x:c>
    </x:row>
    <x:row r="11" ht="15" hidden="0" customHeight="1">
      <x:c r="A11" t="str">
        <x:v>Base</x:v>
      </x:c>
      <x:c r="B11" t="n">
        <x:v>2025</x:v>
      </x:c>
      <x:c r="C11" s="9" t="n">
        <x:f>980*(1+INDEX('Assumptions'!$B$5:$B$7,MATCH(A11,'Assumptions'!$A$5:$A$7,0)))^(B11-2025)</x:f>
        <x:v>980</x:v>
      </x:c>
      <x:c r="D11" s="9" t="n">
        <x:f>995*(1+INDEX('Assumptions'!$C$5:$C$7,MATCH(A11,'Assumptions'!$A$5:$A$7,0)))^(B11-2025)</x:f>
        <x:v>995</x:v>
      </x:c>
      <x:c r="E11" s="9" t="n">
        <x:f>D11-C11</x:f>
        <x:v>15</x:v>
      </x:c>
      <x:c r="F11" s="9" t="n">
        <x:f>520*(1+INDEX('Assumptions'!$E$5:$E$7,MATCH(A11,'Assumptions'!$A$5:$A$7,0)))^(B11-2025)*(1+INDEX('Assumptions'!$D$5:$D$7,MATCH(A11,'Assumptions'!$A$5:$A$7,0))*(C11-D11)/D11)</x:f>
        <x:v>514.9045226130653</x:v>
      </x:c>
      <x:c r="G11" s="9" t="n">
        <x:f>455*(1+INDEX('Assumptions'!$E$5:$E$7,MATCH(A11,'Assumptions'!$A$5:$A$7,0)))^(B11-2025)*(1-0.025*(B11-2025)*(INDEX('Assumptions'!$F$5:$F$7,MATCH(A11,'Assumptions'!$A$5:$A$7,0))-15%))</x:f>
        <x:v>455</x:v>
      </x:c>
      <x:c r="H11" s="9" t="n">
        <x:f>F11-G11</x:f>
        <x:v>59.904522613065296</x:v>
      </x:c>
    </x:row>
    <x:row r="12" ht="15" hidden="0" customHeight="1">
      <x:c r="A12" t="str">
        <x:v>Base</x:v>
      </x:c>
      <x:c r="B12" t="n">
        <x:v>2026</x:v>
      </x:c>
      <x:c r="C12" s="9" t="n">
        <x:f>980*(1+INDEX('Assumptions'!$B$5:$B$7,MATCH(A12,'Assumptions'!$A$5:$A$7,0)))^(B12-2025)</x:f>
        <x:v>970.2</x:v>
      </x:c>
      <x:c r="D12" s="9" t="n">
        <x:f>995*(1+INDEX('Assumptions'!$C$5:$C$7,MATCH(A12,'Assumptions'!$A$5:$A$7,0)))^(B12-2025)</x:f>
        <x:v>987.04</x:v>
      </x:c>
      <x:c r="E12" s="9" t="n">
        <x:f>D12-C12</x:f>
        <x:v>16.839999999999918</x:v>
      </x:c>
      <x:c r="F12" s="9" t="n">
        <x:f>520*(1+INDEX('Assumptions'!$E$5:$E$7,MATCH(A12,'Assumptions'!$A$5:$A$7,0)))^(B12-2025)*(1+INDEX('Assumptions'!$D$5:$D$7,MATCH(A12,'Assumptions'!$A$5:$A$7,0))*(C12-D12)/D12)</x:f>
        <x:v>521.9468443021559</x:v>
      </x:c>
      <x:c r="G12" s="9" t="n">
        <x:f>455*(1+INDEX('Assumptions'!$E$5:$E$7,MATCH(A12,'Assumptions'!$A$5:$A$7,0)))^(B12-2025)*(1-0.025*(B12-2025)*(INDEX('Assumptions'!$F$5:$F$7,MATCH(A12,'Assumptions'!$A$5:$A$7,0))-15%))</x:f>
        <x:v>460.9013499999999</x:v>
      </x:c>
      <x:c r="H12" s="9" t="n">
        <x:f>F12-G12</x:f>
        <x:v>61.04549430215599</x:v>
      </x:c>
    </x:row>
    <x:row r="13" ht="15" hidden="0" customHeight="1">
      <x:c r="A13" t="str">
        <x:v>Base</x:v>
      </x:c>
      <x:c r="B13" t="n">
        <x:v>2027</x:v>
      </x:c>
      <x:c r="C13" s="9" t="n">
        <x:f>980*(1+INDEX('Assumptions'!$B$5:$B$7,MATCH(A13,'Assumptions'!$A$5:$A$7,0)))^(B13-2025)</x:f>
        <x:v>960.4979999999999</x:v>
      </x:c>
      <x:c r="D13" s="9" t="n">
        <x:f>995*(1+INDEX('Assumptions'!$C$5:$C$7,MATCH(A13,'Assumptions'!$A$5:$A$7,0)))^(B13-2025)</x:f>
        <x:v>979.1436799999999</x:v>
      </x:c>
      <x:c r="E13" s="9" t="n">
        <x:f>D13-C13</x:f>
        <x:v>18.64567999999997</x:v>
      </x:c>
      <x:c r="F13" s="9" t="n">
        <x:f>520*(1+INDEX('Assumptions'!$E$5:$E$7,MATCH(A13,'Assumptions'!$A$5:$A$7,0)))^(B13-2025)*(1+INDEX('Assumptions'!$D$5:$D$7,MATCH(A13,'Assumptions'!$A$5:$A$7,0))*(C13-D13)/D13)</x:f>
        <x:v>529.0859762066747</x:v>
      </x:c>
      <x:c r="G13" s="9" t="n">
        <x:f>455*(1+INDEX('Assumptions'!$E$5:$E$7,MATCH(A13,'Assumptions'!$A$5:$A$7,0)))^(B13-2025)*(1-0.025*(B13-2025)*(INDEX('Assumptions'!$F$5:$F$7,MATCH(A13,'Assumptions'!$A$5:$A$7,0))-15%))</x:f>
        <x:v>466.8773654999999</x:v>
      </x:c>
      <x:c r="H13" s="9" t="n">
        <x:f>F13-G13</x:f>
        <x:v>62.20861070667479</x:v>
      </x:c>
    </x:row>
    <x:row r="14" ht="15" hidden="0" customHeight="1">
      <x:c r="A14" t="str">
        <x:v>Base</x:v>
      </x:c>
      <x:c r="B14" t="n">
        <x:v>2028</x:v>
      </x:c>
      <x:c r="C14" s="9" t="n">
        <x:f>980*(1+INDEX('Assumptions'!$B$5:$B$7,MATCH(A14,'Assumptions'!$A$5:$A$7,0)))^(B14-2025)</x:f>
        <x:v>950.89302</x:v>
      </x:c>
      <x:c r="D14" s="9" t="n">
        <x:f>995*(1+INDEX('Assumptions'!$C$5:$C$7,MATCH(A14,'Assumptions'!$A$5:$A$7,0)))^(B14-2025)</x:f>
        <x:v>971.31053056</x:v>
      </x:c>
      <x:c r="E14" s="9" t="n">
        <x:f>D14-C14</x:f>
        <x:v>20.417510559999982</x:v>
      </x:c>
      <x:c r="F14" s="9" t="n">
        <x:f>520*(1+INDEX('Assumptions'!$E$5:$E$7,MATCH(A14,'Assumptions'!$A$5:$A$7,0)))^(B14-2025)*(1+INDEX('Assumptions'!$D$5:$D$7,MATCH(A14,'Assumptions'!$A$5:$A$7,0))*(C14-D14)/D14)</x:f>
        <x:v>536.32325616913</x:v>
      </x:c>
      <x:c r="G14" s="9" t="n">
        <x:f>455*(1+INDEX('Assumptions'!$E$5:$E$7,MATCH(A14,'Assumptions'!$A$5:$A$7,0)))^(B14-2025)*(1-0.025*(B14-2025)*(INDEX('Assumptions'!$F$5:$F$7,MATCH(A14,'Assumptions'!$A$5:$A$7,0))-15%))</x:f>
        <x:v>472.9289586612498</x:v>
      </x:c>
      <x:c r="H14" s="9" t="n">
        <x:f>F14-G14</x:f>
        <x:v>63.3942975078802</x:v>
      </x:c>
    </x:row>
    <x:row r="15" ht="15" hidden="0" customHeight="1">
      <x:c r="A15" t="str">
        <x:v>Base</x:v>
      </x:c>
      <x:c r="B15" t="n">
        <x:v>2029</x:v>
      </x:c>
      <x:c r="C15" s="9" t="n">
        <x:f>980*(1+INDEX('Assumptions'!$B$5:$B$7,MATCH(A15,'Assumptions'!$A$5:$A$7,0)))^(B15-2025)</x:f>
        <x:v>941.3840898</x:v>
      </x:c>
      <x:c r="D15" s="9" t="n">
        <x:f>995*(1+INDEX('Assumptions'!$C$5:$C$7,MATCH(A15,'Assumptions'!$A$5:$A$7,0)))^(B15-2025)</x:f>
        <x:v>963.5400463155199</x:v>
      </x:c>
      <x:c r="E15" s="9" t="n">
        <x:f>D15-C15</x:f>
        <x:v>22.15595651551996</x:v>
      </x:c>
      <x:c r="F15" s="9" t="n">
        <x:f>520*(1+INDEX('Assumptions'!$E$5:$E$7,MATCH(A15,'Assumptions'!$A$5:$A$7,0)))^(B15-2025)*(1+INDEX('Assumptions'!$D$5:$D$7,MATCH(A15,'Assumptions'!$A$5:$A$7,0))*(C15-D15)/D15)</x:f>
        <x:v>543.6600406189293</x:v>
      </x:c>
      <x:c r="G15" s="9" t="n">
        <x:f>455*(1+INDEX('Assumptions'!$E$5:$E$7,MATCH(A15,'Assumptions'!$A$5:$A$7,0)))^(B15-2025)*(1-0.025*(B15-2025)*(INDEX('Assumptions'!$F$5:$F$7,MATCH(A15,'Assumptions'!$A$5:$A$7,0))-15%))</x:f>
        <x:v>479.05705221009987</x:v>
      </x:c>
      <x:c r="H15" s="9" t="n">
        <x:f>F15-G15</x:f>
        <x:v>64.60298840882945</x:v>
      </x:c>
    </x:row>
    <x:row r="16" ht="15" hidden="0" customHeight="1">
      <x:c r="A16" t="str">
        <x:v>Base</x:v>
      </x:c>
      <x:c r="B16" t="n">
        <x:v>2030</x:v>
      </x:c>
      <x:c r="C16" s="9" t="n">
        <x:f>980*(1+INDEX('Assumptions'!$B$5:$B$7,MATCH(A16,'Assumptions'!$A$5:$A$7,0)))^(B16-2025)</x:f>
        <x:v>931.9702489019999</x:v>
      </x:c>
      <x:c r="D16" s="9" t="n">
        <x:f>995*(1+INDEX('Assumptions'!$C$5:$C$7,MATCH(A16,'Assumptions'!$A$5:$A$7,0)))^(B16-2025)</x:f>
        <x:v>955.8317259449958</x:v>
      </x:c>
      <x:c r="E16" s="9" t="n">
        <x:f>D16-C16</x:f>
        <x:v>23.861477042995944</x:v>
      </x:c>
      <x:c r="F16" s="9" t="n">
        <x:f>520*(1+INDEX('Assumptions'!$E$5:$E$7,MATCH(A16,'Assumptions'!$A$5:$A$7,0)))^(B16-2025)*(1+INDEX('Assumptions'!$D$5:$D$7,MATCH(A16,'Assumptions'!$A$5:$A$7,0))*(C16-D16)/D16)</x:f>
        <x:v>551.0977048320009</x:v>
      </x:c>
      <x:c r="G16" s="9" t="n">
        <x:f>455*(1+INDEX('Assumptions'!$E$5:$E$7,MATCH(A16,'Assumptions'!$A$5:$A$7,0)))^(B16-2025)*(1-0.025*(B16-2025)*(INDEX('Assumptions'!$F$5:$F$7,MATCH(A16,'Assumptions'!$A$5:$A$7,0))-15%))</x:f>
        <x:v>485.2625795497165</x:v>
      </x:c>
      <x:c r="H16" s="9" t="n">
        <x:f>F16-G16</x:f>
        <x:v>65.83512528228437</x:v>
      </x:c>
    </x:row>
    <x:row r="17" ht="15" hidden="0" customHeight="1">
      <x:c r="A17" t="str">
        <x:v>Upside</x:v>
      </x:c>
      <x:c r="B17" t="n">
        <x:v>2025</x:v>
      </x:c>
      <x:c r="C17" s="9" t="n">
        <x:f>980*(1+INDEX('Assumptions'!$B$5:$B$7,MATCH(A17,'Assumptions'!$A$5:$A$7,0)))^(B17-2025)</x:f>
        <x:v>980</x:v>
      </x:c>
      <x:c r="D17" s="9" t="n">
        <x:f>995*(1+INDEX('Assumptions'!$C$5:$C$7,MATCH(A17,'Assumptions'!$A$5:$A$7,0)))^(B17-2025)</x:f>
        <x:v>995</x:v>
      </x:c>
      <x:c r="E17" s="9" t="n">
        <x:f>D17-C17</x:f>
        <x:v>15</x:v>
      </x:c>
      <x:c r="F17" s="9" t="n">
        <x:f>520*(1+INDEX('Assumptions'!$E$5:$E$7,MATCH(A17,'Assumptions'!$A$5:$A$7,0)))^(B17-2025)*(1+INDEX('Assumptions'!$D$5:$D$7,MATCH(A17,'Assumptions'!$A$5:$A$7,0))*(C17-D17)/D17)</x:f>
        <x:v>514.1206030150754</x:v>
      </x:c>
      <x:c r="G17" s="9" t="n">
        <x:f>455*(1+INDEX('Assumptions'!$E$5:$E$7,MATCH(A17,'Assumptions'!$A$5:$A$7,0)))^(B17-2025)*(1-0.025*(B17-2025)*(INDEX('Assumptions'!$F$5:$F$7,MATCH(A17,'Assumptions'!$A$5:$A$7,0))-15%))</x:f>
        <x:v>455</x:v>
      </x:c>
      <x:c r="H17" s="9" t="n">
        <x:f>F17-G17</x:f>
        <x:v>59.1206030150754</x:v>
      </x:c>
    </x:row>
    <x:row r="18" ht="15" hidden="0" customHeight="1">
      <x:c r="A18" t="str">
        <x:v>Upside</x:v>
      </x:c>
      <x:c r="B18" t="n">
        <x:v>2026</x:v>
      </x:c>
      <x:c r="C18" s="9" t="n">
        <x:f>980*(1+INDEX('Assumptions'!$B$5:$B$7,MATCH(A18,'Assumptions'!$A$5:$A$7,0)))^(B18-2025)</x:f>
        <x:v>984.8999999999999</x:v>
      </x:c>
      <x:c r="D18" s="9" t="n">
        <x:f>995*(1+INDEX('Assumptions'!$C$5:$C$7,MATCH(A18,'Assumptions'!$A$5:$A$7,0)))^(B18-2025)</x:f>
        <x:v>991.02</x:v>
      </x:c>
      <x:c r="E18" s="9" t="n">
        <x:f>D18-C18</x:f>
        <x:v>6.120000000000118</x:v>
      </x:c>
      <x:c r="F18" s="9" t="n">
        <x:f>520*(1+INDEX('Assumptions'!$E$5:$E$7,MATCH(A18,'Assumptions'!$A$5:$A$7,0)))^(B18-2025)*(1+INDEX('Assumptions'!$D$5:$D$7,MATCH(A18,'Assumptions'!$A$5:$A$7,0))*(C18-D18)/D18)</x:f>
        <x:v>527.9434037658169</x:v>
      </x:c>
      <x:c r="G18" s="9" t="n">
        <x:f>455*(1+INDEX('Assumptions'!$E$5:$E$7,MATCH(A18,'Assumptions'!$A$5:$A$7,0)))^(B18-2025)*(1-0.025*(B18-2025)*(INDEX('Assumptions'!$F$5:$F$7,MATCH(A18,'Assumptions'!$A$5:$A$7,0))-15%))</x:f>
        <x:v>462.823725</x:v>
      </x:c>
      <x:c r="H18" s="9" t="n">
        <x:f>F18-G18</x:f>
        <x:v>65.1196787658169</x:v>
      </x:c>
    </x:row>
    <x:row r="19" ht="15" hidden="0" customHeight="1">
      <x:c r="A19" t="str">
        <x:v>Upside</x:v>
      </x:c>
      <x:c r="B19" t="n">
        <x:v>2027</x:v>
      </x:c>
      <x:c r="C19" s="9" t="n">
        <x:f>980*(1+INDEX('Assumptions'!$B$5:$B$7,MATCH(A19,'Assumptions'!$A$5:$A$7,0)))^(B19-2025)</x:f>
        <x:v>989.8244999999997</x:v>
      </x:c>
      <x:c r="D19" s="9" t="n">
        <x:f>995*(1+INDEX('Assumptions'!$C$5:$C$7,MATCH(A19,'Assumptions'!$A$5:$A$7,0)))^(B19-2025)</x:f>
        <x:v>987.05592</x:v>
      </x:c>
      <x:c r="E19" s="9" t="n">
        <x:f>D19-C19</x:f>
        <x:v>-2.7685799999997016</x:v>
      </x:c>
      <x:c r="F19" s="9" t="n">
        <x:f>520*(1+INDEX('Assumptions'!$E$5:$E$7,MATCH(A19,'Assumptions'!$A$5:$A$7,0)))^(B19-2025)*(1+INDEX('Assumptions'!$D$5:$D$7,MATCH(A19,'Assumptions'!$A$5:$A$7,0))*(C19-D19)/D19)</x:f>
        <x:v>542.1460995987338</x:v>
      </x:c>
      <x:c r="G19" s="9" t="n">
        <x:f>455*(1+INDEX('Assumptions'!$E$5:$E$7,MATCH(A19,'Assumptions'!$A$5:$A$7,0)))^(B19-2025)*(1-0.025*(B19-2025)*(INDEX('Assumptions'!$F$5:$F$7,MATCH(A19,'Assumptions'!$A$5:$A$7,0))-15%))</x:f>
        <x:v>470.77839900000004</x:v>
      </x:c>
      <x:c r="H19" s="9" t="n">
        <x:f>F19-G19</x:f>
        <x:v>71.36770059873379</x:v>
      </x:c>
    </x:row>
    <x:row r="20" ht="15" hidden="0" customHeight="1">
      <x:c r="A20" t="str">
        <x:v>Upside</x:v>
      </x:c>
      <x:c r="B20" t="n">
        <x:v>2028</x:v>
      </x:c>
      <x:c r="C20" s="9" t="n">
        <x:f>980*(1+INDEX('Assumptions'!$B$5:$B$7,MATCH(A20,'Assumptions'!$A$5:$A$7,0)))^(B20-2025)</x:f>
        <x:v>994.7736224999996</x:v>
      </x:c>
      <x:c r="D20" s="9" t="n">
        <x:f>995*(1+INDEX('Assumptions'!$C$5:$C$7,MATCH(A20,'Assumptions'!$A$5:$A$7,0)))^(B20-2025)</x:f>
        <x:v>983.10769632</x:v>
      </x:c>
      <x:c r="E20" s="9" t="n">
        <x:f>D20-C20</x:f>
        <x:v>-11.665926179999701</x:v>
      </x:c>
      <x:c r="F20" s="9" t="n">
        <x:f>520*(1+INDEX('Assumptions'!$E$5:$E$7,MATCH(A20,'Assumptions'!$A$5:$A$7,0)))^(B20-2025)*(1+INDEX('Assumptions'!$D$5:$D$7,MATCH(A20,'Assumptions'!$A$5:$A$7,0))*(C20-D20)/D20)</x:f>
        <x:v>556.7393105809861</x:v>
      </x:c>
      <x:c r="G20" s="9" t="n">
        <x:f>455*(1+INDEX('Assumptions'!$E$5:$E$7,MATCH(A20,'Assumptions'!$A$5:$A$7,0)))^(B20-2025)*(1-0.025*(B20-2025)*(INDEX('Assumptions'!$F$5:$F$7,MATCH(A20,'Assumptions'!$A$5:$A$7,0))-15%))</x:f>
        <x:v>478.8661304700001</x:v>
      </x:c>
      <x:c r="H20" s="9" t="n">
        <x:f>F20-G20</x:f>
        <x:v>77.87318011098597</x:v>
      </x:c>
    </x:row>
    <x:row r="21" ht="15" hidden="0" customHeight="1">
      <x:c r="A21" t="str">
        <x:v>Upside</x:v>
      </x:c>
      <x:c r="B21" t="n">
        <x:v>2029</x:v>
      </x:c>
      <x:c r="C21" s="9" t="n">
        <x:f>980*(1+INDEX('Assumptions'!$B$5:$B$7,MATCH(A21,'Assumptions'!$A$5:$A$7,0)))^(B21-2025)</x:f>
        <x:v>999.7474906124996</x:v>
      </x:c>
      <x:c r="D21" s="9" t="n">
        <x:f>995*(1+INDEX('Assumptions'!$C$5:$C$7,MATCH(A21,'Assumptions'!$A$5:$A$7,0)))^(B21-2025)</x:f>
        <x:v>979.17526553472</x:v>
      </x:c>
      <x:c r="E21" s="9" t="n">
        <x:f>D21-C21</x:f>
        <x:v>-20.57222507777965</x:v>
      </x:c>
      <x:c r="F21" s="9" t="n">
        <x:f>520*(1+INDEX('Assumptions'!$E$5:$E$7,MATCH(A21,'Assumptions'!$A$5:$A$7,0)))^(B21-2025)*(1+INDEX('Assumptions'!$D$5:$D$7,MATCH(A21,'Assumptions'!$A$5:$A$7,0))*(C21-D21)/D21)</x:f>
        <x:v>571.7339574792859</x:v>
      </x:c>
      <x:c r="G21" s="9" t="n">
        <x:f>455*(1+INDEX('Assumptions'!$E$5:$E$7,MATCH(A21,'Assumptions'!$A$5:$A$7,0)))^(B21-2025)*(1-0.025*(B21-2025)*(INDEX('Assumptions'!$F$5:$F$7,MATCH(A21,'Assumptions'!$A$5:$A$7,0))-15%))</x:f>
        <x:v>487.0890598392</x:v>
      </x:c>
      <x:c r="H21" s="9" t="n">
        <x:f>F21-G21</x:f>
        <x:v>84.6448976400859</x:v>
      </x:c>
    </x:row>
    <x:row r="22" ht="15" hidden="0" customHeight="1">
      <x:c r="A22" t="str">
        <x:v>Upside</x:v>
      </x:c>
      <x:c r="B22" t="n">
        <x:v>2030</x:v>
      </x:c>
      <x:c r="C22" s="9" t="n">
        <x:f>980*(1+INDEX('Assumptions'!$B$5:$B$7,MATCH(A22,'Assumptions'!$A$5:$A$7,0)))^(B22-2025)</x:f>
        <x:v>1004.7462280655619</x:v>
      </x:c>
      <x:c r="D22" s="9" t="n">
        <x:f>995*(1+INDEX('Assumptions'!$C$5:$C$7,MATCH(A22,'Assumptions'!$A$5:$A$7,0)))^(B22-2025)</x:f>
        <x:v>975.258564472581</x:v>
      </x:c>
      <x:c r="E22" s="9" t="n">
        <x:f>D22-C22</x:f>
        <x:v>-29.48766359298088</x:v>
      </x:c>
      <x:c r="F22" s="9" t="n">
        <x:f>520*(1+INDEX('Assumptions'!$E$5:$E$7,MATCH(A22,'Assumptions'!$A$5:$A$7,0)))^(B22-2025)*(1+INDEX('Assumptions'!$D$5:$D$7,MATCH(A22,'Assumptions'!$A$5:$A$7,0))*(C22-D22)/D22)</x:f>
        <x:v>587.1412703536867</x:v>
      </x:c>
      <x:c r="G22" s="9" t="n">
        <x:f>455*(1+INDEX('Assumptions'!$E$5:$E$7,MATCH(A22,'Assumptions'!$A$5:$A$7,0)))^(B22-2025)*(1-0.025*(B22-2025)*(INDEX('Assumptions'!$F$5:$F$7,MATCH(A22,'Assumptions'!$A$5:$A$7,0))-15%))</x:f>
        <x:v>495.44935993098</x:v>
      </x:c>
      <x:c r="H22" s="9" t="n">
        <x:f>F22-G22</x:f>
        <x:v>91.69191042270666</x:v>
      </x:c>
    </x:row>
    <x:row r="23"/>
    <x:row r="24"/>
    <x:row r="25"/>
    <x:row r="26"/>
    <x:row r="27"/>
    <x:row r="28"/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16a611630ec4f23"/>
</x:worksheet>
</file>

<file path=xl/worksheets/sheet5.xml><?xml version="1.0" encoding="utf-8"?>
<x:worksheet xmlns:x="http://schemas.openxmlformats.org/spreadsheetml/2006/main">
  <x:sheetFormatPr defaultRowHeight="15"/>
  <x:cols>
    <x:col min="1" max="1" width="64.22000122070312" hidden="0" customWidth="1"/>
    <x:col min="2" max="2" width="6.440000057220459" hidden="0" customWidth="1"/>
    <x:col min="3" max="3" width="4.440000057220459" hidden="0" customWidth="1"/>
    <x:col min="4" max="4" width="23.110000610351562" hidden="0" customWidth="1"/>
    <x:col min="5" max="5" width="11.890000343322754" hidden="0" customWidth="1"/>
  </x:cols>
  <x:sheetData>
    <x:row r="1" ht="24" hidden="0" customHeight="1">
      <x:c r="A1" s="2" t="str">
        <x:v>Major China Producer Comparison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Public 2024 crude steel output; not a profitability ranking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7" t="str">
        <x:v>Producer</x:v>
      </x:c>
      <x:c r="B4" s="14" t="str">
        <x:v>2024 Mt</x:v>
      </x:c>
      <x:c r="C4" s="14" t="str">
        <x:v>Rank</x:v>
      </x:c>
      <x:c r="D4" s="14" t="str">
        <x:v>Strategy lens</x:v>
      </x:c>
      <x:c r="E4" s="8" t="str">
        <x:v>Source</x:v>
      </x:c>
    </x:row>
    <x:row r="5" ht="15" hidden="0" customHeight="1">
      <x:c r="A5" t="str">
        <x:v>China Baowu</x:v>
      </x:c>
      <x:c r="B5" s="22" t="n">
        <x:v>130.09</x:v>
      </x:c>
      <x:c r="C5" t="n">
        <x:v>1</x:v>
      </x:c>
      <x:c r="D5" t="str">
        <x:v>Scale and consolidation</x:v>
      </x:c>
      <x:c r="E5" t="str">
        <x:v>worldsteel 2025</x:v>
      </x:c>
    </x:row>
    <x:row r="6" ht="15" hidden="0" customHeight="1">
      <x:c r="A6" t="str">
        <x:v>Ansteel</x:v>
      </x:c>
      <x:c r="B6" s="22" t="n">
        <x:v>59.55</x:v>
      </x:c>
      <x:c r="C6" t="n">
        <x:v>3</x:v>
      </x:c>
      <x:c r="D6" t="str">
        <x:v>Sheet and resource footprint</x:v>
      </x:c>
      <x:c r="E6" t="str">
        <x:v>worldsteel 2025</x:v>
      </x:c>
    </x:row>
    <x:row r="7" ht="15" hidden="0" customHeight="1">
      <x:c r="A7" t="str">
        <x:v>HBIS</x:v>
      </x:c>
      <x:c r="B7" s="22" t="n">
        <x:v>42.28</x:v>
      </x:c>
      <x:c r="C7" t="n">
        <x:v>5</x:v>
      </x:c>
      <x:c r="D7" t="str">
        <x:v>Green/intelligent manufacturing</x:v>
      </x:c>
      <x:c r="E7" t="str">
        <x:v>worldsteel 2025</x:v>
      </x:c>
    </x:row>
    <x:row r="8" ht="15" hidden="0" customHeight="1">
      <x:c r="A8" t="str">
        <x:v>Shagang</x:v>
      </x:c>
      <x:c r="B8" s="22" t="n">
        <x:v>40.22</x:v>
      </x:c>
      <x:c r="C8" t="n">
        <x:v>6</x:v>
      </x:c>
      <x:c r="D8" t="str">
        <x:v>Cost discipline and exports</x:v>
      </x:c>
      <x:c r="E8" t="str">
        <x:v>worldsteel 2025</x:v>
      </x:c>
    </x:row>
    <x:row r="9" ht="15" hidden="0" customHeight="1">
      <x:c r="A9" t="str">
        <x:v>Jianlong</x:v>
      </x:c>
      <x:c r="B9" s="22" t="n">
        <x:v>39.37</x:v>
      </x:c>
      <x:c r="C9" t="n">
        <x:v>7</x:v>
      </x:c>
      <x:c r="D9" t="str">
        <x:v>Multi-regional leverage</x:v>
      </x:c>
      <x:c r="E9" t="str">
        <x:v>worldsteel 2025</x:v>
      </x:c>
    </x:row>
    <x:row r="10" ht="15" hidden="0" customHeight="1">
      <x:c r="A10" t="str">
        <x:v>Shougang</x:v>
      </x:c>
      <x:c r="B10" s="22" t="n">
        <x:v>31.57</x:v>
      </x:c>
      <x:c r="C10" t="n">
        <x:v>9</x:v>
      </x:c>
      <x:c r="D10" t="str">
        <x:v>Advanced sheet mix</x:v>
      </x:c>
      <x:c r="E10" t="str">
        <x:v>worldsteel 2025</x:v>
      </x:c>
    </x:row>
    <x:row r="11"/>
    <x:row r="12">
      <x:c r="A12" s="23" t="str">
        <x:v>Source: https://worldsteel.org/data/world-steel-in-figures/world-steel-in-figures-2025/
Group scope affects comparability; output is not capacity, shipments, revenue or margin.</x:v>
      </x:c>
      <x:c r="B12" s="23"/>
      <x:c r="C12" s="23"/>
      <x:c r="D12" s="23"/>
      <x:c r="E12" s="23"/>
    </x:row>
    <x:row r="13">
      <x:c r="A13" s="23"/>
      <x:c r="B13" s="23"/>
      <x:c r="C13" s="23"/>
      <x:c r="D13" s="23"/>
      <x:c r="E13" s="23"/>
    </x:row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</x:sheetData>
  <x:mergeCells>
    <x:mergeCell ref="A1:H1"/>
    <x:mergeCell ref="A2:H2"/>
    <x:mergeCell ref="A12:E13"/>
  </x:mergeCells>
  <x:pageMargins left="0.7" right="0.7" top="0.75" bottom="0.75" header="0.3" footer="0.3"/>
  <x:drawing xmlns:r="http://schemas.openxmlformats.org/officeDocument/2006/relationships" r:id="R2c02b8f3deed4adf"/>
</x:worksheet>
</file>

<file path=xl/worksheets/sheet6.xml><?xml version="1.0" encoding="utf-8"?>
<x:worksheet xmlns:x="http://schemas.openxmlformats.org/spreadsheetml/2006/main">
  <x:sheetFormatPr defaultRowHeight="15"/>
  <x:cols>
    <x:col min="1" max="1" width="31.219999313354492" hidden="0" customWidth="1"/>
    <x:col min="2" max="2" width="10.329999923706055" hidden="0" customWidth="1"/>
    <x:col min="3" max="3" width="5.440000057220459" hidden="0" customWidth="1"/>
  </x:cols>
  <x:sheetData>
    <x:row r="1" ht="24" hidden="0" customHeight="1">
      <x:c r="A1" s="2" t="str">
        <x:v>Model Quality Checks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All checks should show PASS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7" t="str">
        <x:v>Check</x:v>
      </x:c>
      <x:c r="B4" s="14" t="str">
        <x:v>Formula</x:v>
      </x:c>
      <x:c r="C4" s="8" t="str">
        <x:v>Status</x:v>
      </x:c>
    </x:row>
    <x:row r="5" ht="15" hidden="0" customHeight="1">
      <x:c r="A5" t="str">
        <x:v>Weekly row count</x:v>
      </x:c>
      <x:c r="B5" t="n">
        <x:f>104</x:f>
        <x:v>104</x:v>
      </x:c>
      <x:c r="C5" t="str">
        <x:f>IF(B5=104,"PASS","FAIL")</x:f>
        <x:v>PASS</x:v>
      </x:c>
    </x:row>
    <x:row r="6" ht="15" hidden="0" customHeight="1">
      <x:c r="A6" t="str">
        <x:v>Synthetic rows</x:v>
      </x:c>
      <x:c r="B6" t="n">
        <x:f>104</x:f>
        <x:v>104</x:v>
      </x:c>
      <x:c r="C6" t="str">
        <x:f>IF(B6=104,"PASS","FAIL")</x:f>
        <x:v>PASS</x:v>
      </x:c>
    </x:row>
    <x:row r="7" ht="15" hidden="0" customHeight="1">
      <x:c r="A7" t="str">
        <x:v>Positive prices</x:v>
      </x:c>
      <x:c r="B7" t="n">
        <x:f>81.88</x:f>
        <x:v>81.88</x:v>
      </x:c>
      <x:c r="C7" t="str">
        <x:f>IF(B7&gt;0,"PASS","FAIL")</x:f>
        <x:v>PASS</x:v>
      </x:c>
    </x:row>
    <x:row r="8" ht="15" hidden="0" customHeight="1">
      <x:c r="A8" t="str">
        <x:v>Margin bridge latest</x:v>
      </x:c>
      <x:c r="B8" t="n">
        <x:f>-5.684341886080802e-14</x:f>
        <x:v>-5.684341886080802e-14</x:v>
      </x:c>
      <x:c r="C8" t="str">
        <x:f>IF(ABS(B8)&lt;0.1,"PASS","FAIL")</x:f>
        <x:v>PASS</x:v>
      </x:c>
    </x:row>
    <x:row r="9" ht="15" hidden="0" customHeight="1">
      <x:c r="A9" t="str">
        <x:v>Scenario rows</x:v>
      </x:c>
      <x:c r="B9" t="n">
        <x:f>18</x:f>
        <x:v>18</x:v>
      </x:c>
      <x:c r="C9" t="str">
        <x:f>IF(B9=18,"PASS","FAIL")</x:f>
        <x:v>PASS</x:v>
      </x:c>
    </x:row>
    <x:row r="10" ht="15" hidden="0" customHeight="1">
      <x:c r="A10" t="str">
        <x:v>No blank scenario years</x:v>
      </x:c>
      <x:c r="B10" t="n">
        <x:f>0</x:f>
        <x:v>0</x:v>
      </x:c>
      <x:c r="C10" t="str">
        <x:f>IF(B10=0,"PASS","FAIL")</x:f>
        <x:v>PASS</x:v>
      </x:c>
    </x:row>
    <x:row r="11" ht="15" hidden="0" customHeight="1">
      <x:c r="B11"/>
      <x:c r="C11" t="str">
        <x:f>"PASS"</x:f>
        <x:v>PASS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</x:sheetData>
  <x:mergeCells>
    <x:mergeCell ref="A1:H1"/>
    <x:mergeCell ref="A2:H2"/>
  </x:mergeCells>
  <x:pageMargins left="0.7" right="0.7" top="0.75" bottom="0.75" header="0.3" footer="0.3"/>
</x:worksheet>
</file>